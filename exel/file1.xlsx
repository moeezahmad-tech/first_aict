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E:\uni\AICT\exel\"/>
    </mc:Choice>
  </mc:AlternateContent>
  <xr:revisionPtr revIDLastSave="0" documentId="13_ncr:1_{46D30A32-028B-48C7-9026-C34E9D6F8906}" xr6:coauthVersionLast="47" xr6:coauthVersionMax="47" xr10:uidLastSave="{00000000-0000-0000-0000-000000000000}"/>
  <bookViews>
    <workbookView xWindow="-75" yWindow="-18120" windowWidth="29040" windowHeight="18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H7" i="1" s="1"/>
  <c r="G10" i="1"/>
  <c r="H10" i="1" s="1"/>
  <c r="G4" i="1"/>
  <c r="H4" i="1" s="1"/>
  <c r="F12" i="1"/>
  <c r="F4" i="1"/>
  <c r="F5" i="1"/>
  <c r="F6" i="1"/>
  <c r="F7" i="1"/>
  <c r="F8" i="1"/>
  <c r="F9" i="1"/>
  <c r="F10" i="1"/>
  <c r="F11" i="1"/>
</calcChain>
</file>

<file path=xl/sharedStrings.xml><?xml version="1.0" encoding="utf-8"?>
<sst xmlns="http://schemas.openxmlformats.org/spreadsheetml/2006/main" count="21" uniqueCount="15">
  <si>
    <t>Name</t>
  </si>
  <si>
    <t>Moeez</t>
  </si>
  <si>
    <t>Arham</t>
  </si>
  <si>
    <t>Ali</t>
  </si>
  <si>
    <t>Roll Number</t>
  </si>
  <si>
    <t>Eng</t>
  </si>
  <si>
    <t>Urd</t>
  </si>
  <si>
    <t>Math</t>
  </si>
  <si>
    <t>Subject</t>
  </si>
  <si>
    <t>Total Marks</t>
  </si>
  <si>
    <t>Obtain</t>
  </si>
  <si>
    <t>Percentae</t>
  </si>
  <si>
    <t xml:space="preserve">Total </t>
  </si>
  <si>
    <t>Percentage</t>
  </si>
  <si>
    <t>Marks Calculater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</si>
</sst>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7"/>
                <c:pt idx="0">
                  <c:v>Moeez</c:v>
                </c:pt>
                <c:pt idx="3">
                  <c:v>Arham</c:v>
                </c:pt>
                <c:pt idx="6">
                  <c:v>Ali</c:v>
                </c:pt>
              </c:strCache>
            </c:strRef>
          </c:cat>
          <c:val>
            <c:numRef>
              <c:f>Sheet1!$D$4:$D$12</c:f>
              <c:numCache>
                <c:formatCode>General</c:formatCode>
                <c:ptCount val="9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9-4E76-AECD-FB22E76B813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7"/>
                <c:pt idx="0">
                  <c:v>Moeez</c:v>
                </c:pt>
                <c:pt idx="3">
                  <c:v>Arham</c:v>
                </c:pt>
                <c:pt idx="6">
                  <c:v>Ali</c:v>
                </c:pt>
              </c:strCache>
            </c: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18</c:v>
                </c:pt>
                <c:pt idx="1">
                  <c:v>198</c:v>
                </c:pt>
                <c:pt idx="2">
                  <c:v>176</c:v>
                </c:pt>
                <c:pt idx="3">
                  <c:v>87</c:v>
                </c:pt>
                <c:pt idx="4">
                  <c:v>198</c:v>
                </c:pt>
                <c:pt idx="5">
                  <c:v>190</c:v>
                </c:pt>
                <c:pt idx="6">
                  <c:v>96</c:v>
                </c:pt>
                <c:pt idx="7">
                  <c:v>48</c:v>
                </c:pt>
                <c:pt idx="8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69-4E76-AECD-FB22E76B813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7"/>
                <c:pt idx="0">
                  <c:v>Moeez</c:v>
                </c:pt>
                <c:pt idx="3">
                  <c:v>Arham</c:v>
                </c:pt>
                <c:pt idx="6">
                  <c:v>Ali</c:v>
                </c:pt>
              </c:strCache>
            </c: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392</c:v>
                </c:pt>
                <c:pt idx="3">
                  <c:v>475</c:v>
                </c:pt>
                <c:pt idx="6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69-4E76-AECD-FB22E76B813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7"/>
                <c:pt idx="0">
                  <c:v>Moeez</c:v>
                </c:pt>
                <c:pt idx="3">
                  <c:v>Arham</c:v>
                </c:pt>
                <c:pt idx="6">
                  <c:v>Ali</c:v>
                </c:pt>
              </c:strCache>
            </c:strRef>
          </c:cat>
          <c:val>
            <c:numRef>
              <c:f>Sheet1!$H$4:$H$12</c:f>
              <c:numCache>
                <c:formatCode>General</c:formatCode>
                <c:ptCount val="9"/>
                <c:pt idx="0">
                  <c:v>65.333333333333329</c:v>
                </c:pt>
                <c:pt idx="3">
                  <c:v>79.166666666666657</c:v>
                </c:pt>
                <c:pt idx="6">
                  <c:v>56.999999999999993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69-4E76-AECD-FB22E76B8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8510992"/>
        <c:axId val="1748509552"/>
      </c:barChart>
      <c:catAx>
        <c:axId val="174851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09552"/>
        <c:crosses val="autoZero"/>
        <c:auto val="1"/>
        <c:lblAlgn val="ctr"/>
        <c:lblOffset val="100"/>
        <c:noMultiLvlLbl val="0"/>
      </c:catAx>
      <c:valAx>
        <c:axId val="17485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851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Sheet1!$A$4:$C$12</c:f>
              <c:multiLvlStrCache>
                <c:ptCount val="9"/>
                <c:lvl>
                  <c:pt idx="0">
                    <c:v>Eng</c:v>
                  </c:pt>
                  <c:pt idx="1">
                    <c:v>Urd</c:v>
                  </c:pt>
                  <c:pt idx="2">
                    <c:v>Math</c:v>
                  </c:pt>
                  <c:pt idx="3">
                    <c:v>Eng</c:v>
                  </c:pt>
                  <c:pt idx="4">
                    <c:v>Urd</c:v>
                  </c:pt>
                  <c:pt idx="5">
                    <c:v>Math</c:v>
                  </c:pt>
                  <c:pt idx="6">
                    <c:v>Eng</c:v>
                  </c:pt>
                  <c:pt idx="7">
                    <c:v>Urd</c:v>
                  </c:pt>
                  <c:pt idx="8">
                    <c:v>Math</c:v>
                  </c:pt>
                </c:lvl>
                <c:lvl>
                  <c:pt idx="0">
                    <c:v>89</c:v>
                  </c:pt>
                  <c:pt idx="3">
                    <c:v>102</c:v>
                  </c:pt>
                  <c:pt idx="6">
                    <c:v>68</c:v>
                  </c:pt>
                </c:lvl>
                <c:lvl>
                  <c:pt idx="0">
                    <c:v>Moeez</c:v>
                  </c:pt>
                  <c:pt idx="3">
                    <c:v>Arham</c:v>
                  </c:pt>
                  <c:pt idx="6">
                    <c:v>Ali</c:v>
                  </c:pt>
                </c:lvl>
              </c:multiLvlStrCache>
            </c:multiLvl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18</c:v>
                </c:pt>
                <c:pt idx="1">
                  <c:v>198</c:v>
                </c:pt>
                <c:pt idx="2">
                  <c:v>176</c:v>
                </c:pt>
                <c:pt idx="3">
                  <c:v>87</c:v>
                </c:pt>
                <c:pt idx="4">
                  <c:v>198</c:v>
                </c:pt>
                <c:pt idx="5">
                  <c:v>190</c:v>
                </c:pt>
                <c:pt idx="6">
                  <c:v>96</c:v>
                </c:pt>
                <c:pt idx="7">
                  <c:v>48</c:v>
                </c:pt>
                <c:pt idx="8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B-4AC9-ACE9-91CBB094E3D4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Sheet1!$A$4:$C$12</c:f>
              <c:multiLvlStrCache>
                <c:ptCount val="9"/>
                <c:lvl>
                  <c:pt idx="0">
                    <c:v>Eng</c:v>
                  </c:pt>
                  <c:pt idx="1">
                    <c:v>Urd</c:v>
                  </c:pt>
                  <c:pt idx="2">
                    <c:v>Math</c:v>
                  </c:pt>
                  <c:pt idx="3">
                    <c:v>Eng</c:v>
                  </c:pt>
                  <c:pt idx="4">
                    <c:v>Urd</c:v>
                  </c:pt>
                  <c:pt idx="5">
                    <c:v>Math</c:v>
                  </c:pt>
                  <c:pt idx="6">
                    <c:v>Eng</c:v>
                  </c:pt>
                  <c:pt idx="7">
                    <c:v>Urd</c:v>
                  </c:pt>
                  <c:pt idx="8">
                    <c:v>Math</c:v>
                  </c:pt>
                </c:lvl>
                <c:lvl>
                  <c:pt idx="0">
                    <c:v>89</c:v>
                  </c:pt>
                  <c:pt idx="3">
                    <c:v>102</c:v>
                  </c:pt>
                  <c:pt idx="6">
                    <c:v>68</c:v>
                  </c:pt>
                </c:lvl>
                <c:lvl>
                  <c:pt idx="0">
                    <c:v>Moeez</c:v>
                  </c:pt>
                  <c:pt idx="3">
                    <c:v>Arham</c:v>
                  </c:pt>
                  <c:pt idx="6">
                    <c:v>Ali</c:v>
                  </c:pt>
                </c:lvl>
              </c:multiLvlStrCache>
            </c:multiLvlStrRef>
          </c:cat>
          <c:val>
            <c:numRef>
              <c:f>Sheet1!$E$4:$E$12</c:f>
              <c:numCache>
                <c:formatCode>General</c:formatCode>
                <c:ptCount val="9"/>
                <c:pt idx="0">
                  <c:v>18</c:v>
                </c:pt>
                <c:pt idx="1">
                  <c:v>198</c:v>
                </c:pt>
                <c:pt idx="2">
                  <c:v>176</c:v>
                </c:pt>
                <c:pt idx="3">
                  <c:v>87</c:v>
                </c:pt>
                <c:pt idx="4">
                  <c:v>198</c:v>
                </c:pt>
                <c:pt idx="5">
                  <c:v>190</c:v>
                </c:pt>
                <c:pt idx="6">
                  <c:v>96</c:v>
                </c:pt>
                <c:pt idx="7">
                  <c:v>48</c:v>
                </c:pt>
                <c:pt idx="8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FB-4AC9-ACE9-91CBB094E3D4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Sheet1!$A$4:$C$12</c:f>
              <c:multiLvlStrCache>
                <c:ptCount val="9"/>
                <c:lvl>
                  <c:pt idx="0">
                    <c:v>Eng</c:v>
                  </c:pt>
                  <c:pt idx="1">
                    <c:v>Urd</c:v>
                  </c:pt>
                  <c:pt idx="2">
                    <c:v>Math</c:v>
                  </c:pt>
                  <c:pt idx="3">
                    <c:v>Eng</c:v>
                  </c:pt>
                  <c:pt idx="4">
                    <c:v>Urd</c:v>
                  </c:pt>
                  <c:pt idx="5">
                    <c:v>Math</c:v>
                  </c:pt>
                  <c:pt idx="6">
                    <c:v>Eng</c:v>
                  </c:pt>
                  <c:pt idx="7">
                    <c:v>Urd</c:v>
                  </c:pt>
                  <c:pt idx="8">
                    <c:v>Math</c:v>
                  </c:pt>
                </c:lvl>
                <c:lvl>
                  <c:pt idx="0">
                    <c:v>89</c:v>
                  </c:pt>
                  <c:pt idx="3">
                    <c:v>102</c:v>
                  </c:pt>
                  <c:pt idx="6">
                    <c:v>68</c:v>
                  </c:pt>
                </c:lvl>
                <c:lvl>
                  <c:pt idx="0">
                    <c:v>Moeez</c:v>
                  </c:pt>
                  <c:pt idx="3">
                    <c:v>Arham</c:v>
                  </c:pt>
                  <c:pt idx="6">
                    <c:v>Ali</c:v>
                  </c:pt>
                </c:lvl>
              </c:multiLvlStrCache>
            </c:multiLvlStrRef>
          </c:cat>
          <c:val>
            <c:numRef>
              <c:f>Sheet1!$F$4:$F$12</c:f>
              <c:numCache>
                <c:formatCode>General</c:formatCode>
                <c:ptCount val="9"/>
                <c:pt idx="0">
                  <c:v>9</c:v>
                </c:pt>
                <c:pt idx="1">
                  <c:v>99</c:v>
                </c:pt>
                <c:pt idx="2">
                  <c:v>88</c:v>
                </c:pt>
                <c:pt idx="3">
                  <c:v>43.5</c:v>
                </c:pt>
                <c:pt idx="4">
                  <c:v>99</c:v>
                </c:pt>
                <c:pt idx="5">
                  <c:v>95</c:v>
                </c:pt>
                <c:pt idx="6">
                  <c:v>48</c:v>
                </c:pt>
                <c:pt idx="7">
                  <c:v>24</c:v>
                </c:pt>
                <c:pt idx="8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FB-4AC9-ACE9-91CBB094E3D4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Sheet1!$A$4:$C$12</c:f>
              <c:multiLvlStrCache>
                <c:ptCount val="9"/>
                <c:lvl>
                  <c:pt idx="0">
                    <c:v>Eng</c:v>
                  </c:pt>
                  <c:pt idx="1">
                    <c:v>Urd</c:v>
                  </c:pt>
                  <c:pt idx="2">
                    <c:v>Math</c:v>
                  </c:pt>
                  <c:pt idx="3">
                    <c:v>Eng</c:v>
                  </c:pt>
                  <c:pt idx="4">
                    <c:v>Urd</c:v>
                  </c:pt>
                  <c:pt idx="5">
                    <c:v>Math</c:v>
                  </c:pt>
                  <c:pt idx="6">
                    <c:v>Eng</c:v>
                  </c:pt>
                  <c:pt idx="7">
                    <c:v>Urd</c:v>
                  </c:pt>
                  <c:pt idx="8">
                    <c:v>Math</c:v>
                  </c:pt>
                </c:lvl>
                <c:lvl>
                  <c:pt idx="0">
                    <c:v>89</c:v>
                  </c:pt>
                  <c:pt idx="3">
                    <c:v>102</c:v>
                  </c:pt>
                  <c:pt idx="6">
                    <c:v>68</c:v>
                  </c:pt>
                </c:lvl>
                <c:lvl>
                  <c:pt idx="0">
                    <c:v>Moeez</c:v>
                  </c:pt>
                  <c:pt idx="3">
                    <c:v>Arham</c:v>
                  </c:pt>
                  <c:pt idx="6">
                    <c:v>Ali</c:v>
                  </c:pt>
                </c:lvl>
              </c:multiLvlStrCache>
            </c:multiLvlStrRef>
          </c:cat>
          <c:val>
            <c:numRef>
              <c:f>Sheet1!$G$4:$G$12</c:f>
              <c:numCache>
                <c:formatCode>General</c:formatCode>
                <c:ptCount val="9"/>
                <c:pt idx="0">
                  <c:v>392</c:v>
                </c:pt>
                <c:pt idx="3">
                  <c:v>475</c:v>
                </c:pt>
                <c:pt idx="6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FB-4AC9-ACE9-91CBB094E3D4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Sheet1!$A$4:$C$12</c:f>
              <c:multiLvlStrCache>
                <c:ptCount val="9"/>
                <c:lvl>
                  <c:pt idx="0">
                    <c:v>Eng</c:v>
                  </c:pt>
                  <c:pt idx="1">
                    <c:v>Urd</c:v>
                  </c:pt>
                  <c:pt idx="2">
                    <c:v>Math</c:v>
                  </c:pt>
                  <c:pt idx="3">
                    <c:v>Eng</c:v>
                  </c:pt>
                  <c:pt idx="4">
                    <c:v>Urd</c:v>
                  </c:pt>
                  <c:pt idx="5">
                    <c:v>Math</c:v>
                  </c:pt>
                  <c:pt idx="6">
                    <c:v>Eng</c:v>
                  </c:pt>
                  <c:pt idx="7">
                    <c:v>Urd</c:v>
                  </c:pt>
                  <c:pt idx="8">
                    <c:v>Math</c:v>
                  </c:pt>
                </c:lvl>
                <c:lvl>
                  <c:pt idx="0">
                    <c:v>89</c:v>
                  </c:pt>
                  <c:pt idx="3">
                    <c:v>102</c:v>
                  </c:pt>
                  <c:pt idx="6">
                    <c:v>68</c:v>
                  </c:pt>
                </c:lvl>
                <c:lvl>
                  <c:pt idx="0">
                    <c:v>Moeez</c:v>
                  </c:pt>
                  <c:pt idx="3">
                    <c:v>Arham</c:v>
                  </c:pt>
                  <c:pt idx="6">
                    <c:v>Ali</c:v>
                  </c:pt>
                </c:lvl>
              </c:multiLvlStrCache>
            </c:multiLvlStrRef>
          </c:cat>
          <c:val>
            <c:numRef>
              <c:f>Sheet1!$H$4:$H$12</c:f>
              <c:numCache>
                <c:formatCode>General</c:formatCode>
                <c:ptCount val="9"/>
                <c:pt idx="0">
                  <c:v>65.333333333333329</c:v>
                </c:pt>
                <c:pt idx="3">
                  <c:v>79.166666666666657</c:v>
                </c:pt>
                <c:pt idx="6">
                  <c:v>56.999999999999993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FB-4AC9-ACE9-91CBB094E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297986</xdr:colOff>
      <xdr:row>7</xdr:row>
      <xdr:rowOff>89810</xdr:rowOff>
    </xdr:from>
    <xdr:to>
      <xdr:col>15</xdr:col>
      <xdr:colOff>591642</xdr:colOff>
      <xdr:row>21</xdr:row>
      <xdr:rowOff>166010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6CF993-6376-01CE-B4A0-6F98525E9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248478</xdr:colOff>
      <xdr:row>14</xdr:row>
      <xdr:rowOff>40584</xdr:rowOff>
    </xdr:from>
    <xdr:to>
      <xdr:col>6</xdr:col>
      <xdr:colOff>571500</xdr:colOff>
      <xdr:row>28</xdr:row>
      <xdr:rowOff>116784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5DF3D5-CE61-8894-6B21-30A1A6CBD4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15" zoomScaleNormal="115" workbookViewId="0">
      <selection activeCell="J28" sqref="J28"/>
    </sheetView>
  </sheetViews>
  <sheetFormatPr defaultRowHeight="15" x14ac:dyDescent="0.25"/>
  <cols>
    <col min="2" max="2" width="12.140625" bestFit="1" customWidth="1"/>
    <col min="4" max="4" width="11.140625" bestFit="1" customWidth="1"/>
    <col min="5" max="5" width="11.7109375" customWidth="1"/>
    <col min="6" max="6" width="10.28515625" customWidth="1"/>
    <col min="7" max="7" width="12.85546875" customWidth="1"/>
    <col min="8" max="8" width="11.85546875" customWidth="1"/>
  </cols>
  <sheetData>
    <row r="1" spans="1:10" x14ac:dyDescent="0.25">
      <c r="A1" s="4" t="s">
        <v>14</v>
      </c>
      <c r="B1" s="5"/>
      <c r="C1" s="5"/>
      <c r="D1" s="5"/>
      <c r="E1" s="5"/>
      <c r="F1" s="5"/>
      <c r="G1" s="5"/>
      <c r="H1" s="5"/>
      <c r="I1" s="1"/>
      <c r="J1" s="1"/>
    </row>
    <row r="2" spans="1:10" x14ac:dyDescent="0.25">
      <c r="A2" s="5"/>
      <c r="B2" s="5"/>
      <c r="C2" s="5"/>
      <c r="D2" s="5"/>
      <c r="E2" s="5"/>
      <c r="F2" s="5"/>
      <c r="G2" s="5"/>
      <c r="H2" s="5"/>
      <c r="I2" s="1"/>
      <c r="J2" s="1"/>
    </row>
    <row r="3" spans="1:10" x14ac:dyDescent="0.25">
      <c r="A3" s="3" t="s">
        <v>0</v>
      </c>
      <c r="B3" s="3" t="s">
        <v>4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2"/>
      <c r="J3" s="2"/>
    </row>
    <row r="4" spans="1:10" x14ac:dyDescent="0.25">
      <c r="A4" s="6" t="s">
        <v>1</v>
      </c>
      <c r="B4" s="7">
        <v>89</v>
      </c>
      <c r="C4" s="2" t="s">
        <v>5</v>
      </c>
      <c r="D4" s="2">
        <v>200</v>
      </c>
      <c r="E4" s="2">
        <v>18</v>
      </c>
      <c r="F4" s="2">
        <f>(E4/D4)*100</f>
        <v>9</v>
      </c>
      <c r="G4" s="7">
        <f>SUM(E4:E6)</f>
        <v>392</v>
      </c>
      <c r="H4" s="7">
        <f>(G4/SUM(D4:D6))*100</f>
        <v>65.333333333333329</v>
      </c>
      <c r="I4" s="2"/>
      <c r="J4" s="2"/>
    </row>
    <row r="5" spans="1:10" x14ac:dyDescent="0.25">
      <c r="A5" s="6"/>
      <c r="B5" s="7"/>
      <c r="C5" s="2" t="s">
        <v>6</v>
      </c>
      <c r="D5" s="2">
        <v>200</v>
      </c>
      <c r="E5" s="2">
        <v>198</v>
      </c>
      <c r="F5" s="2">
        <f t="shared" ref="F5:F12" si="0">(E5/D5)*100</f>
        <v>99</v>
      </c>
      <c r="G5" s="7"/>
      <c r="H5" s="7"/>
      <c r="I5" s="2"/>
      <c r="J5" s="2"/>
    </row>
    <row r="6" spans="1:10" x14ac:dyDescent="0.25">
      <c r="A6" s="6"/>
      <c r="B6" s="7"/>
      <c r="C6" s="2" t="s">
        <v>7</v>
      </c>
      <c r="D6" s="2">
        <v>200</v>
      </c>
      <c r="E6" s="2">
        <v>176</v>
      </c>
      <c r="F6" s="2">
        <f t="shared" si="0"/>
        <v>88</v>
      </c>
      <c r="G6" s="7"/>
      <c r="H6" s="7"/>
      <c r="I6" s="2"/>
      <c r="J6" s="2"/>
    </row>
    <row r="7" spans="1:10" x14ac:dyDescent="0.25">
      <c r="A7" s="6" t="s">
        <v>2</v>
      </c>
      <c r="B7" s="7">
        <v>102</v>
      </c>
      <c r="C7" s="2" t="s">
        <v>5</v>
      </c>
      <c r="D7" s="2">
        <v>200</v>
      </c>
      <c r="E7" s="2">
        <v>87</v>
      </c>
      <c r="F7" s="2">
        <f t="shared" si="0"/>
        <v>43.5</v>
      </c>
      <c r="G7" s="7">
        <f t="shared" ref="G7" si="1">SUM(E7:E9)</f>
        <v>475</v>
      </c>
      <c r="H7" s="7">
        <f t="shared" ref="H7" si="2">(G7/SUM(D7:D9))*100</f>
        <v>79.166666666666657</v>
      </c>
      <c r="I7" s="2"/>
      <c r="J7" s="2"/>
    </row>
    <row r="8" spans="1:10" x14ac:dyDescent="0.25">
      <c r="A8" s="6"/>
      <c r="B8" s="7"/>
      <c r="C8" s="2" t="s">
        <v>6</v>
      </c>
      <c r="D8" s="2">
        <v>200</v>
      </c>
      <c r="E8" s="2">
        <v>198</v>
      </c>
      <c r="F8" s="2">
        <f t="shared" si="0"/>
        <v>99</v>
      </c>
      <c r="G8" s="7"/>
      <c r="H8" s="7"/>
      <c r="I8" s="2"/>
      <c r="J8" s="2"/>
    </row>
    <row r="9" spans="1:10" x14ac:dyDescent="0.25">
      <c r="A9" s="6"/>
      <c r="B9" s="7"/>
      <c r="C9" s="2" t="s">
        <v>7</v>
      </c>
      <c r="D9" s="2">
        <v>200</v>
      </c>
      <c r="E9" s="2">
        <v>190</v>
      </c>
      <c r="F9" s="2">
        <f t="shared" si="0"/>
        <v>95</v>
      </c>
      <c r="G9" s="7"/>
      <c r="H9" s="7"/>
      <c r="I9" s="2"/>
      <c r="J9" s="2"/>
    </row>
    <row r="10" spans="1:10" x14ac:dyDescent="0.25">
      <c r="A10" s="6" t="s">
        <v>3</v>
      </c>
      <c r="B10" s="7">
        <v>68</v>
      </c>
      <c r="C10" s="2" t="s">
        <v>5</v>
      </c>
      <c r="D10" s="2">
        <v>200</v>
      </c>
      <c r="E10" s="2">
        <v>96</v>
      </c>
      <c r="F10" s="2">
        <f t="shared" si="0"/>
        <v>48</v>
      </c>
      <c r="G10" s="7">
        <f t="shared" ref="G10" si="3">SUM(E10:E12)</f>
        <v>342</v>
      </c>
      <c r="H10" s="7">
        <f t="shared" ref="H10" si="4">(G10/SUM(D10:D12))*100</f>
        <v>56.999999999999993</v>
      </c>
      <c r="I10" s="2"/>
      <c r="J10" s="2"/>
    </row>
    <row r="11" spans="1:10" x14ac:dyDescent="0.25">
      <c r="A11" s="6"/>
      <c r="B11" s="7"/>
      <c r="C11" s="2" t="s">
        <v>6</v>
      </c>
      <c r="D11" s="2">
        <v>200</v>
      </c>
      <c r="E11" s="2">
        <v>48</v>
      </c>
      <c r="F11" s="2">
        <f t="shared" si="0"/>
        <v>24</v>
      </c>
      <c r="G11" s="7"/>
      <c r="H11" s="7"/>
      <c r="I11" s="2"/>
      <c r="J11" s="2"/>
    </row>
    <row r="12" spans="1:10" x14ac:dyDescent="0.25">
      <c r="A12" s="6"/>
      <c r="B12" s="7"/>
      <c r="C12" s="2" t="s">
        <v>7</v>
      </c>
      <c r="D12" s="2">
        <v>200</v>
      </c>
      <c r="E12" s="2">
        <v>198</v>
      </c>
      <c r="F12" s="2">
        <f t="shared" si="0"/>
        <v>99</v>
      </c>
      <c r="G12" s="7"/>
      <c r="H12" s="7"/>
      <c r="I12" s="2"/>
      <c r="J12" s="2"/>
    </row>
  </sheetData>
  <mergeCells count="13">
    <mergeCell ref="A1:H2"/>
    <mergeCell ref="A4:A6"/>
    <mergeCell ref="A7:A9"/>
    <mergeCell ref="A10:A12"/>
    <mergeCell ref="B4:B6"/>
    <mergeCell ref="B7:B9"/>
    <mergeCell ref="B10:B12"/>
    <mergeCell ref="G4:G6"/>
    <mergeCell ref="G7:G9"/>
    <mergeCell ref="G10:G12"/>
    <mergeCell ref="H4:H6"/>
    <mergeCell ref="H7:H9"/>
    <mergeCell ref="H10:H12"/>
  </mergeCells>
  <pageMargins left="0.7" right="0.7" top="0.75" bottom="0.75" header="0.3" footer="0.3"/>
  <ignoredErrors>
    <ignoredError sqref="A5:H6 A12:H12 A10:D10 F10:H10 A9:H9 A7:D7 F7:H7 A4:D4 F4:H4 A11:D11 F11:H11 A8:D8 F8:H8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Xdevil</dc:creator>
  <cp:lastModifiedBy>Xdevil</cp:lastModifiedBy>
  <dcterms:created xsi:type="dcterms:W3CDTF">2015-06-05T18:17:20Z</dcterms:created>
  <dcterms:modified xsi:type="dcterms:W3CDTF">2025-10-26T16:52:24Z</dcterms:modified>
</cp:coreProperties>
</file>