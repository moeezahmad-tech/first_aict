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E:\uni\AICT\exel\"/>
    </mc:Choice>
  </mc:AlternateContent>
  <xr:revisionPtr revIDLastSave="0" documentId="13_ncr:1_{5AC64C38-8CE4-436D-B247-B39536E47E6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2" l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5" i="2"/>
  <c r="H9" i="1"/>
  <c r="H12" i="1"/>
  <c r="H6" i="1"/>
</calcChain>
</file>

<file path=xl/sharedStrings.xml><?xml version="1.0" encoding="utf-8"?>
<sst xmlns="http://schemas.openxmlformats.org/spreadsheetml/2006/main" count="48" uniqueCount="40">
  <si>
    <t>Students</t>
  </si>
  <si>
    <t>Name</t>
  </si>
  <si>
    <t>Class</t>
  </si>
  <si>
    <t>Subject</t>
  </si>
  <si>
    <t>Eng</t>
  </si>
  <si>
    <t>Math</t>
  </si>
  <si>
    <t>Urdu</t>
  </si>
  <si>
    <t>Total Marks</t>
  </si>
  <si>
    <t>Obtain Marks</t>
  </si>
  <si>
    <t>Persentage</t>
  </si>
  <si>
    <t>Ali Mughal</t>
  </si>
  <si>
    <t>1st Semester</t>
  </si>
  <si>
    <t>Tayyaba Khan</t>
  </si>
  <si>
    <t>Hisham Khan</t>
  </si>
  <si>
    <t>1st Semester Persentage Calculator</t>
  </si>
  <si>
    <t>Exel sheet to calculate Average</t>
  </si>
  <si>
    <t>Roll No</t>
  </si>
  <si>
    <t>2023-GA-1</t>
  </si>
  <si>
    <t>2023-GA-2</t>
  </si>
  <si>
    <t>2023-GA-3</t>
  </si>
  <si>
    <t>2023-GA-4</t>
  </si>
  <si>
    <t>2023-GA-5</t>
  </si>
  <si>
    <t>2023-GA-6</t>
  </si>
  <si>
    <t>2023-GA-7</t>
  </si>
  <si>
    <t>2023-GA-8</t>
  </si>
  <si>
    <t>2023-GA-9</t>
  </si>
  <si>
    <t>2023-GA-10</t>
  </si>
  <si>
    <t>2023-GA-11</t>
  </si>
  <si>
    <t>2023-GA-12</t>
  </si>
  <si>
    <t>2023-GA-13</t>
  </si>
  <si>
    <t>2023-GA-14</t>
  </si>
  <si>
    <t>2023-GA-15</t>
  </si>
  <si>
    <t>2023-GA-16</t>
  </si>
  <si>
    <t>Calculas</t>
  </si>
  <si>
    <t>Discreate Math</t>
  </si>
  <si>
    <t>Physics</t>
  </si>
  <si>
    <t>AICT</t>
  </si>
  <si>
    <t>Total</t>
  </si>
  <si>
    <t>Percentage</t>
  </si>
  <si>
    <t>Avg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</si>
</sst>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sz val="28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3" borderId="0" xfId="2"/>
    <xf numFmtId="0" fontId="2" fillId="3" borderId="0" xfId="2" applyAlignment="1">
      <alignment horizontal="center"/>
    </xf>
    <xf numFmtId="0" fontId="0" fillId="0" borderId="0" xfId="0" applyAlignment="1"/>
    <xf numFmtId="0" fontId="7" fillId="2" borderId="0" xfId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3" borderId="0" xfId="2" applyAlignment="1">
      <alignment horizontal="center" vertical="center"/>
    </xf>
    <xf numFmtId="0" fontId="2" fillId="3" borderId="0" xfId="2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987292260918577E-2"/>
          <c:y val="0.10313519899773124"/>
          <c:w val="0.88944437802107712"/>
          <c:h val="0.76874973452226492"/>
        </c:manualLayout>
      </c:layout>
      <c:barChart>
        <c:barDir val="bar"/>
        <c:grouping val="clustered"/>
        <c:varyColors val="0"/>
        <c:ser>
          <c:idx val="1"/>
          <c:order val="1"/>
          <c:tx>
            <c:strRef>
              <c:f>Sheet2!$C$4</c:f>
              <c:strCache>
                <c:ptCount val="1"/>
                <c:pt idx="0">
                  <c:v>Calculas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Sheet2!$A$5:$A$20</c:f>
              <c:strCache>
                <c:ptCount val="16"/>
                <c:pt idx="0">
                  <c:v>2023-GA-1</c:v>
                </c:pt>
                <c:pt idx="1">
                  <c:v>2023-GA-2</c:v>
                </c:pt>
                <c:pt idx="2">
                  <c:v>2023-GA-3</c:v>
                </c:pt>
                <c:pt idx="3">
                  <c:v>2023-GA-4</c:v>
                </c:pt>
                <c:pt idx="4">
                  <c:v>2023-GA-5</c:v>
                </c:pt>
                <c:pt idx="5">
                  <c:v>2023-GA-6</c:v>
                </c:pt>
                <c:pt idx="6">
                  <c:v>2023-GA-7</c:v>
                </c:pt>
                <c:pt idx="7">
                  <c:v>2023-GA-8</c:v>
                </c:pt>
                <c:pt idx="8">
                  <c:v>2023-GA-9</c:v>
                </c:pt>
                <c:pt idx="9">
                  <c:v>2023-GA-10</c:v>
                </c:pt>
                <c:pt idx="10">
                  <c:v>2023-GA-11</c:v>
                </c:pt>
                <c:pt idx="11">
                  <c:v>2023-GA-12</c:v>
                </c:pt>
                <c:pt idx="12">
                  <c:v>2023-GA-13</c:v>
                </c:pt>
                <c:pt idx="13">
                  <c:v>2023-GA-14</c:v>
                </c:pt>
                <c:pt idx="14">
                  <c:v>2023-GA-15</c:v>
                </c:pt>
                <c:pt idx="15">
                  <c:v>2023-GA-16</c:v>
                </c:pt>
              </c:strCache>
            </c:strRef>
          </c:cat>
          <c:val>
            <c:numRef>
              <c:f>Sheet2!$C$5:$C$20</c:f>
              <c:numCache>
                <c:formatCode>General</c:formatCode>
                <c:ptCount val="16"/>
                <c:pt idx="0">
                  <c:v>80</c:v>
                </c:pt>
                <c:pt idx="1">
                  <c:v>69</c:v>
                </c:pt>
                <c:pt idx="2">
                  <c:v>87</c:v>
                </c:pt>
                <c:pt idx="3">
                  <c:v>78</c:v>
                </c:pt>
                <c:pt idx="4">
                  <c:v>67</c:v>
                </c:pt>
                <c:pt idx="5">
                  <c:v>87</c:v>
                </c:pt>
                <c:pt idx="6">
                  <c:v>89</c:v>
                </c:pt>
                <c:pt idx="7">
                  <c:v>98</c:v>
                </c:pt>
                <c:pt idx="8">
                  <c:v>78</c:v>
                </c:pt>
                <c:pt idx="9">
                  <c:v>68</c:v>
                </c:pt>
                <c:pt idx="10">
                  <c:v>65</c:v>
                </c:pt>
                <c:pt idx="11">
                  <c:v>61</c:v>
                </c:pt>
                <c:pt idx="12">
                  <c:v>87</c:v>
                </c:pt>
                <c:pt idx="13">
                  <c:v>76</c:v>
                </c:pt>
                <c:pt idx="14">
                  <c:v>98</c:v>
                </c:pt>
                <c:pt idx="15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EF-4F9A-BEDB-B890F6B31D0D}"/>
            </c:ext>
          </c:extLst>
        </c:ser>
        <c:ser>
          <c:idx val="2"/>
          <c:order val="2"/>
          <c:tx>
            <c:strRef>
              <c:f>Sheet2!$D$4</c:f>
              <c:strCache>
                <c:ptCount val="1"/>
                <c:pt idx="0">
                  <c:v>Discreate Math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Sheet2!$A$5:$A$20</c:f>
              <c:strCache>
                <c:ptCount val="16"/>
                <c:pt idx="0">
                  <c:v>2023-GA-1</c:v>
                </c:pt>
                <c:pt idx="1">
                  <c:v>2023-GA-2</c:v>
                </c:pt>
                <c:pt idx="2">
                  <c:v>2023-GA-3</c:v>
                </c:pt>
                <c:pt idx="3">
                  <c:v>2023-GA-4</c:v>
                </c:pt>
                <c:pt idx="4">
                  <c:v>2023-GA-5</c:v>
                </c:pt>
                <c:pt idx="5">
                  <c:v>2023-GA-6</c:v>
                </c:pt>
                <c:pt idx="6">
                  <c:v>2023-GA-7</c:v>
                </c:pt>
                <c:pt idx="7">
                  <c:v>2023-GA-8</c:v>
                </c:pt>
                <c:pt idx="8">
                  <c:v>2023-GA-9</c:v>
                </c:pt>
                <c:pt idx="9">
                  <c:v>2023-GA-10</c:v>
                </c:pt>
                <c:pt idx="10">
                  <c:v>2023-GA-11</c:v>
                </c:pt>
                <c:pt idx="11">
                  <c:v>2023-GA-12</c:v>
                </c:pt>
                <c:pt idx="12">
                  <c:v>2023-GA-13</c:v>
                </c:pt>
                <c:pt idx="13">
                  <c:v>2023-GA-14</c:v>
                </c:pt>
                <c:pt idx="14">
                  <c:v>2023-GA-15</c:v>
                </c:pt>
                <c:pt idx="15">
                  <c:v>2023-GA-16</c:v>
                </c:pt>
              </c:strCache>
            </c:strRef>
          </c:cat>
          <c:val>
            <c:numRef>
              <c:f>Sheet2!$D$5:$D$20</c:f>
              <c:numCache>
                <c:formatCode>General</c:formatCode>
                <c:ptCount val="16"/>
                <c:pt idx="0">
                  <c:v>61</c:v>
                </c:pt>
                <c:pt idx="1">
                  <c:v>65</c:v>
                </c:pt>
                <c:pt idx="2">
                  <c:v>67</c:v>
                </c:pt>
                <c:pt idx="3">
                  <c:v>68</c:v>
                </c:pt>
                <c:pt idx="4">
                  <c:v>69</c:v>
                </c:pt>
                <c:pt idx="5">
                  <c:v>76</c:v>
                </c:pt>
                <c:pt idx="6">
                  <c:v>78</c:v>
                </c:pt>
                <c:pt idx="7">
                  <c:v>78</c:v>
                </c:pt>
                <c:pt idx="8">
                  <c:v>80</c:v>
                </c:pt>
                <c:pt idx="9">
                  <c:v>87</c:v>
                </c:pt>
                <c:pt idx="10">
                  <c:v>87</c:v>
                </c:pt>
                <c:pt idx="11">
                  <c:v>87</c:v>
                </c:pt>
                <c:pt idx="12">
                  <c:v>87</c:v>
                </c:pt>
                <c:pt idx="13">
                  <c:v>89</c:v>
                </c:pt>
                <c:pt idx="14">
                  <c:v>98</c:v>
                </c:pt>
                <c:pt idx="15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EF-4F9A-BEDB-B890F6B31D0D}"/>
            </c:ext>
          </c:extLst>
        </c:ser>
        <c:ser>
          <c:idx val="3"/>
          <c:order val="3"/>
          <c:tx>
            <c:strRef>
              <c:f>Sheet2!$E$4</c:f>
              <c:strCache>
                <c:ptCount val="1"/>
                <c:pt idx="0">
                  <c:v>Physics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Sheet2!$A$5:$A$20</c:f>
              <c:strCache>
                <c:ptCount val="16"/>
                <c:pt idx="0">
                  <c:v>2023-GA-1</c:v>
                </c:pt>
                <c:pt idx="1">
                  <c:v>2023-GA-2</c:v>
                </c:pt>
                <c:pt idx="2">
                  <c:v>2023-GA-3</c:v>
                </c:pt>
                <c:pt idx="3">
                  <c:v>2023-GA-4</c:v>
                </c:pt>
                <c:pt idx="4">
                  <c:v>2023-GA-5</c:v>
                </c:pt>
                <c:pt idx="5">
                  <c:v>2023-GA-6</c:v>
                </c:pt>
                <c:pt idx="6">
                  <c:v>2023-GA-7</c:v>
                </c:pt>
                <c:pt idx="7">
                  <c:v>2023-GA-8</c:v>
                </c:pt>
                <c:pt idx="8">
                  <c:v>2023-GA-9</c:v>
                </c:pt>
                <c:pt idx="9">
                  <c:v>2023-GA-10</c:v>
                </c:pt>
                <c:pt idx="10">
                  <c:v>2023-GA-11</c:v>
                </c:pt>
                <c:pt idx="11">
                  <c:v>2023-GA-12</c:v>
                </c:pt>
                <c:pt idx="12">
                  <c:v>2023-GA-13</c:v>
                </c:pt>
                <c:pt idx="13">
                  <c:v>2023-GA-14</c:v>
                </c:pt>
                <c:pt idx="14">
                  <c:v>2023-GA-15</c:v>
                </c:pt>
                <c:pt idx="15">
                  <c:v>2023-GA-16</c:v>
                </c:pt>
              </c:strCache>
            </c:strRef>
          </c:cat>
          <c:val>
            <c:numRef>
              <c:f>Sheet2!$E$5:$E$20</c:f>
              <c:numCache>
                <c:formatCode>General</c:formatCode>
                <c:ptCount val="16"/>
                <c:pt idx="0">
                  <c:v>98</c:v>
                </c:pt>
                <c:pt idx="1">
                  <c:v>98</c:v>
                </c:pt>
                <c:pt idx="2">
                  <c:v>89</c:v>
                </c:pt>
                <c:pt idx="3">
                  <c:v>87</c:v>
                </c:pt>
                <c:pt idx="4">
                  <c:v>87</c:v>
                </c:pt>
                <c:pt idx="5">
                  <c:v>87</c:v>
                </c:pt>
                <c:pt idx="6">
                  <c:v>87</c:v>
                </c:pt>
                <c:pt idx="7">
                  <c:v>80</c:v>
                </c:pt>
                <c:pt idx="8">
                  <c:v>78</c:v>
                </c:pt>
                <c:pt idx="9">
                  <c:v>78</c:v>
                </c:pt>
                <c:pt idx="10">
                  <c:v>76</c:v>
                </c:pt>
                <c:pt idx="11">
                  <c:v>69</c:v>
                </c:pt>
                <c:pt idx="12">
                  <c:v>68</c:v>
                </c:pt>
                <c:pt idx="13">
                  <c:v>67</c:v>
                </c:pt>
                <c:pt idx="14">
                  <c:v>65</c:v>
                </c:pt>
                <c:pt idx="15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EF-4F9A-BEDB-B890F6B31D0D}"/>
            </c:ext>
          </c:extLst>
        </c:ser>
        <c:ser>
          <c:idx val="4"/>
          <c:order val="4"/>
          <c:tx>
            <c:strRef>
              <c:f>Sheet2!$F$4</c:f>
              <c:strCache>
                <c:ptCount val="1"/>
                <c:pt idx="0">
                  <c:v>AICT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Sheet2!$A$5:$A$20</c:f>
              <c:strCache>
                <c:ptCount val="16"/>
                <c:pt idx="0">
                  <c:v>2023-GA-1</c:v>
                </c:pt>
                <c:pt idx="1">
                  <c:v>2023-GA-2</c:v>
                </c:pt>
                <c:pt idx="2">
                  <c:v>2023-GA-3</c:v>
                </c:pt>
                <c:pt idx="3">
                  <c:v>2023-GA-4</c:v>
                </c:pt>
                <c:pt idx="4">
                  <c:v>2023-GA-5</c:v>
                </c:pt>
                <c:pt idx="5">
                  <c:v>2023-GA-6</c:v>
                </c:pt>
                <c:pt idx="6">
                  <c:v>2023-GA-7</c:v>
                </c:pt>
                <c:pt idx="7">
                  <c:v>2023-GA-8</c:v>
                </c:pt>
                <c:pt idx="8">
                  <c:v>2023-GA-9</c:v>
                </c:pt>
                <c:pt idx="9">
                  <c:v>2023-GA-10</c:v>
                </c:pt>
                <c:pt idx="10">
                  <c:v>2023-GA-11</c:v>
                </c:pt>
                <c:pt idx="11">
                  <c:v>2023-GA-12</c:v>
                </c:pt>
                <c:pt idx="12">
                  <c:v>2023-GA-13</c:v>
                </c:pt>
                <c:pt idx="13">
                  <c:v>2023-GA-14</c:v>
                </c:pt>
                <c:pt idx="14">
                  <c:v>2023-GA-15</c:v>
                </c:pt>
                <c:pt idx="15">
                  <c:v>2023-GA-16</c:v>
                </c:pt>
              </c:strCache>
            </c:strRef>
          </c:cat>
          <c:val>
            <c:numRef>
              <c:f>Sheet2!$F$5:$F$20</c:f>
              <c:numCache>
                <c:formatCode>General</c:formatCode>
                <c:ptCount val="16"/>
                <c:pt idx="0">
                  <c:v>80</c:v>
                </c:pt>
                <c:pt idx="1">
                  <c:v>69</c:v>
                </c:pt>
                <c:pt idx="2">
                  <c:v>87</c:v>
                </c:pt>
                <c:pt idx="3">
                  <c:v>78</c:v>
                </c:pt>
                <c:pt idx="4">
                  <c:v>67</c:v>
                </c:pt>
                <c:pt idx="5">
                  <c:v>87</c:v>
                </c:pt>
                <c:pt idx="6">
                  <c:v>89</c:v>
                </c:pt>
                <c:pt idx="7">
                  <c:v>98</c:v>
                </c:pt>
                <c:pt idx="8">
                  <c:v>78</c:v>
                </c:pt>
                <c:pt idx="9">
                  <c:v>68</c:v>
                </c:pt>
                <c:pt idx="10">
                  <c:v>65</c:v>
                </c:pt>
                <c:pt idx="11">
                  <c:v>61</c:v>
                </c:pt>
                <c:pt idx="12">
                  <c:v>87</c:v>
                </c:pt>
                <c:pt idx="13">
                  <c:v>76</c:v>
                </c:pt>
                <c:pt idx="14">
                  <c:v>98</c:v>
                </c:pt>
                <c:pt idx="15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EF-4F9A-BEDB-B890F6B31D0D}"/>
            </c:ext>
          </c:extLst>
        </c:ser>
        <c:ser>
          <c:idx val="5"/>
          <c:order val="5"/>
          <c:tx>
            <c:strRef>
              <c:f>Sheet2!$G$4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Sheet2!$A$5:$A$20</c:f>
              <c:strCache>
                <c:ptCount val="16"/>
                <c:pt idx="0">
                  <c:v>2023-GA-1</c:v>
                </c:pt>
                <c:pt idx="1">
                  <c:v>2023-GA-2</c:v>
                </c:pt>
                <c:pt idx="2">
                  <c:v>2023-GA-3</c:v>
                </c:pt>
                <c:pt idx="3">
                  <c:v>2023-GA-4</c:v>
                </c:pt>
                <c:pt idx="4">
                  <c:v>2023-GA-5</c:v>
                </c:pt>
                <c:pt idx="5">
                  <c:v>2023-GA-6</c:v>
                </c:pt>
                <c:pt idx="6">
                  <c:v>2023-GA-7</c:v>
                </c:pt>
                <c:pt idx="7">
                  <c:v>2023-GA-8</c:v>
                </c:pt>
                <c:pt idx="8">
                  <c:v>2023-GA-9</c:v>
                </c:pt>
                <c:pt idx="9">
                  <c:v>2023-GA-10</c:v>
                </c:pt>
                <c:pt idx="10">
                  <c:v>2023-GA-11</c:v>
                </c:pt>
                <c:pt idx="11">
                  <c:v>2023-GA-12</c:v>
                </c:pt>
                <c:pt idx="12">
                  <c:v>2023-GA-13</c:v>
                </c:pt>
                <c:pt idx="13">
                  <c:v>2023-GA-14</c:v>
                </c:pt>
                <c:pt idx="14">
                  <c:v>2023-GA-15</c:v>
                </c:pt>
                <c:pt idx="15">
                  <c:v>2023-GA-16</c:v>
                </c:pt>
              </c:strCache>
            </c:strRef>
          </c:cat>
          <c:val>
            <c:numRef>
              <c:f>Sheet2!$G$5:$G$20</c:f>
              <c:numCache>
                <c:formatCode>General</c:formatCode>
                <c:ptCount val="16"/>
                <c:pt idx="0">
                  <c:v>319</c:v>
                </c:pt>
                <c:pt idx="1">
                  <c:v>301</c:v>
                </c:pt>
                <c:pt idx="2">
                  <c:v>330</c:v>
                </c:pt>
                <c:pt idx="3">
                  <c:v>311</c:v>
                </c:pt>
                <c:pt idx="4">
                  <c:v>290</c:v>
                </c:pt>
                <c:pt idx="5">
                  <c:v>337</c:v>
                </c:pt>
                <c:pt idx="6">
                  <c:v>343</c:v>
                </c:pt>
                <c:pt idx="7">
                  <c:v>354</c:v>
                </c:pt>
                <c:pt idx="8">
                  <c:v>314</c:v>
                </c:pt>
                <c:pt idx="9">
                  <c:v>301</c:v>
                </c:pt>
                <c:pt idx="10">
                  <c:v>293</c:v>
                </c:pt>
                <c:pt idx="11">
                  <c:v>278</c:v>
                </c:pt>
                <c:pt idx="12">
                  <c:v>329</c:v>
                </c:pt>
                <c:pt idx="13">
                  <c:v>308</c:v>
                </c:pt>
                <c:pt idx="14">
                  <c:v>359</c:v>
                </c:pt>
                <c:pt idx="15">
                  <c:v>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EF-4F9A-BEDB-B890F6B31D0D}"/>
            </c:ext>
          </c:extLst>
        </c:ser>
        <c:ser>
          <c:idx val="6"/>
          <c:order val="6"/>
          <c:tx>
            <c:strRef>
              <c:f>Sheet2!$H$4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Sheet2!$A$5:$A$20</c:f>
              <c:strCache>
                <c:ptCount val="16"/>
                <c:pt idx="0">
                  <c:v>2023-GA-1</c:v>
                </c:pt>
                <c:pt idx="1">
                  <c:v>2023-GA-2</c:v>
                </c:pt>
                <c:pt idx="2">
                  <c:v>2023-GA-3</c:v>
                </c:pt>
                <c:pt idx="3">
                  <c:v>2023-GA-4</c:v>
                </c:pt>
                <c:pt idx="4">
                  <c:v>2023-GA-5</c:v>
                </c:pt>
                <c:pt idx="5">
                  <c:v>2023-GA-6</c:v>
                </c:pt>
                <c:pt idx="6">
                  <c:v>2023-GA-7</c:v>
                </c:pt>
                <c:pt idx="7">
                  <c:v>2023-GA-8</c:v>
                </c:pt>
                <c:pt idx="8">
                  <c:v>2023-GA-9</c:v>
                </c:pt>
                <c:pt idx="9">
                  <c:v>2023-GA-10</c:v>
                </c:pt>
                <c:pt idx="10">
                  <c:v>2023-GA-11</c:v>
                </c:pt>
                <c:pt idx="11">
                  <c:v>2023-GA-12</c:v>
                </c:pt>
                <c:pt idx="12">
                  <c:v>2023-GA-13</c:v>
                </c:pt>
                <c:pt idx="13">
                  <c:v>2023-GA-14</c:v>
                </c:pt>
                <c:pt idx="14">
                  <c:v>2023-GA-15</c:v>
                </c:pt>
                <c:pt idx="15">
                  <c:v>2023-GA-16</c:v>
                </c:pt>
              </c:strCache>
            </c:strRef>
          </c:cat>
          <c:val>
            <c:numRef>
              <c:f>Sheet2!$H$5:$H$20</c:f>
              <c:numCache>
                <c:formatCode>General</c:formatCode>
                <c:ptCount val="16"/>
                <c:pt idx="0">
                  <c:v>79.75</c:v>
                </c:pt>
                <c:pt idx="1">
                  <c:v>75.25</c:v>
                </c:pt>
                <c:pt idx="2">
                  <c:v>82.5</c:v>
                </c:pt>
                <c:pt idx="3">
                  <c:v>77.75</c:v>
                </c:pt>
                <c:pt idx="4">
                  <c:v>72.5</c:v>
                </c:pt>
                <c:pt idx="5">
                  <c:v>84.25</c:v>
                </c:pt>
                <c:pt idx="6">
                  <c:v>85.75</c:v>
                </c:pt>
                <c:pt idx="7">
                  <c:v>88.5</c:v>
                </c:pt>
                <c:pt idx="8">
                  <c:v>78.5</c:v>
                </c:pt>
                <c:pt idx="9">
                  <c:v>75.25</c:v>
                </c:pt>
                <c:pt idx="10">
                  <c:v>73.25</c:v>
                </c:pt>
                <c:pt idx="11">
                  <c:v>69.5</c:v>
                </c:pt>
                <c:pt idx="12">
                  <c:v>82.25</c:v>
                </c:pt>
                <c:pt idx="13">
                  <c:v>77</c:v>
                </c:pt>
                <c:pt idx="14">
                  <c:v>89.75</c:v>
                </c:pt>
                <c:pt idx="15">
                  <c:v>83.25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EF-4F9A-BEDB-B890F6B31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2058464"/>
        <c:axId val="71206230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Sheet2!$B$4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Sheet2!$A$5:$A$20</c15:sqref>
                        </c15:formulaRef>
                      </c:ext>
                    </c:extLst>
                    <c:strCache>
                      <c:ptCount val="16"/>
                      <c:pt idx="0">
                        <c:v>2023-GA-1</c:v>
                      </c:pt>
                      <c:pt idx="1">
                        <c:v>2023-GA-2</c:v>
                      </c:pt>
                      <c:pt idx="2">
                        <c:v>2023-GA-3</c:v>
                      </c:pt>
                      <c:pt idx="3">
                        <c:v>2023-GA-4</c:v>
                      </c:pt>
                      <c:pt idx="4">
                        <c:v>2023-GA-5</c:v>
                      </c:pt>
                      <c:pt idx="5">
                        <c:v>2023-GA-6</c:v>
                      </c:pt>
                      <c:pt idx="6">
                        <c:v>2023-GA-7</c:v>
                      </c:pt>
                      <c:pt idx="7">
                        <c:v>2023-GA-8</c:v>
                      </c:pt>
                      <c:pt idx="8">
                        <c:v>2023-GA-9</c:v>
                      </c:pt>
                      <c:pt idx="9">
                        <c:v>2023-GA-10</c:v>
                      </c:pt>
                      <c:pt idx="10">
                        <c:v>2023-GA-11</c:v>
                      </c:pt>
                      <c:pt idx="11">
                        <c:v>2023-GA-12</c:v>
                      </c:pt>
                      <c:pt idx="12">
                        <c:v>2023-GA-13</c:v>
                      </c:pt>
                      <c:pt idx="13">
                        <c:v>2023-GA-14</c:v>
                      </c:pt>
                      <c:pt idx="14">
                        <c:v>2023-GA-15</c:v>
                      </c:pt>
                      <c:pt idx="15">
                        <c:v>2023-GA-16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Sheet2!$B$5:$B$20</c15:sqref>
                        </c15:formulaRef>
                      </c:ext>
                    </c:extLst>
                    <c:numCache>
                      <c:formatCode>General</c:formatCode>
                      <c:ptCount val="1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9EF-4F9A-BEDB-B890F6B31D0D}"/>
                  </c:ext>
                </c:extLst>
              </c15:ser>
            </c15:filteredBarSeries>
          </c:ext>
        </c:extLst>
      </c:barChart>
      <c:catAx>
        <c:axId val="712058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062304"/>
        <c:crosses val="autoZero"/>
        <c:auto val="1"/>
        <c:lblAlgn val="ctr"/>
        <c:lblOffset val="100"/>
        <c:noMultiLvlLbl val="0"/>
      </c:catAx>
      <c:valAx>
        <c:axId val="71206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05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9</xdr:row>
      <xdr:rowOff>166687</xdr:rowOff>
    </xdr:from>
    <xdr:to>
      <xdr:col>21</xdr:col>
      <xdr:colOff>390525</xdr:colOff>
      <xdr:row>33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B640A0-BF95-1405-B652-CA4C0C623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zoomScale="175" zoomScaleNormal="175" workbookViewId="0">
      <selection activeCell="L6" sqref="L6"/>
    </sheetView>
  </sheetViews>
  <sheetFormatPr defaultRowHeight="15" x14ac:dyDescent="0.25"/>
  <cols>
    <col min="1" max="1" width="10.42578125" bestFit="1" customWidth="1"/>
    <col min="4" max="4" width="11.28515625" customWidth="1"/>
    <col min="6" max="6" width="18.42578125" customWidth="1"/>
    <col min="7" max="7" width="16" customWidth="1"/>
    <col min="8" max="8" width="16.5703125" customWidth="1"/>
  </cols>
  <sheetData>
    <row r="1" spans="1:11" x14ac:dyDescent="0.25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ht="1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x14ac:dyDescent="0.25">
      <c r="A5" s="10" t="s">
        <v>1</v>
      </c>
      <c r="B5" s="10"/>
      <c r="C5" s="11" t="s">
        <v>2</v>
      </c>
      <c r="D5" s="11"/>
      <c r="E5" s="5" t="s">
        <v>3</v>
      </c>
      <c r="F5" s="5" t="s">
        <v>7</v>
      </c>
      <c r="G5" s="5" t="s">
        <v>8</v>
      </c>
      <c r="H5" s="5" t="s">
        <v>9</v>
      </c>
      <c r="I5" s="4"/>
      <c r="J5" s="4"/>
      <c r="K5" s="4"/>
    </row>
    <row r="6" spans="1:11" x14ac:dyDescent="0.25">
      <c r="A6" s="12" t="s">
        <v>10</v>
      </c>
      <c r="B6" s="13"/>
      <c r="C6" s="13" t="s">
        <v>11</v>
      </c>
      <c r="D6" s="13"/>
      <c r="E6" s="1" t="s">
        <v>4</v>
      </c>
      <c r="F6" s="1">
        <v>100</v>
      </c>
      <c r="G6" s="1">
        <v>95</v>
      </c>
      <c r="H6" s="9">
        <f>SUM(G6:G8)/SUM(F6:F8)*100</f>
        <v>90</v>
      </c>
    </row>
    <row r="7" spans="1:11" x14ac:dyDescent="0.25">
      <c r="A7" s="13"/>
      <c r="B7" s="13"/>
      <c r="C7" s="13"/>
      <c r="D7" s="13"/>
      <c r="E7" s="1" t="s">
        <v>6</v>
      </c>
      <c r="F7" s="1">
        <v>100</v>
      </c>
      <c r="G7" s="1">
        <v>85</v>
      </c>
      <c r="H7" s="9"/>
    </row>
    <row r="8" spans="1:11" x14ac:dyDescent="0.25">
      <c r="A8" s="13"/>
      <c r="B8" s="13"/>
      <c r="C8" s="13"/>
      <c r="D8" s="13"/>
      <c r="E8" s="1" t="s">
        <v>5</v>
      </c>
      <c r="F8" s="1">
        <v>100</v>
      </c>
      <c r="G8" s="1">
        <v>90</v>
      </c>
      <c r="H8" s="9"/>
    </row>
    <row r="9" spans="1:11" x14ac:dyDescent="0.25">
      <c r="A9" s="12" t="s">
        <v>12</v>
      </c>
      <c r="B9" s="13"/>
      <c r="C9" s="13" t="s">
        <v>11</v>
      </c>
      <c r="D9" s="13"/>
      <c r="E9" s="1" t="s">
        <v>4</v>
      </c>
      <c r="F9" s="1">
        <v>100</v>
      </c>
      <c r="G9" s="1">
        <v>85</v>
      </c>
      <c r="H9" s="9">
        <f t="shared" ref="H9" si="0">SUM(G9:G11)/SUM(F9:F11)*100</f>
        <v>82.5</v>
      </c>
    </row>
    <row r="10" spans="1:11" x14ac:dyDescent="0.25">
      <c r="A10" s="13"/>
      <c r="B10" s="13"/>
      <c r="C10" s="13"/>
      <c r="D10" s="13"/>
      <c r="E10" s="1" t="s">
        <v>6</v>
      </c>
      <c r="F10" s="1">
        <v>100</v>
      </c>
      <c r="G10" s="1">
        <v>82.5</v>
      </c>
      <c r="H10" s="9"/>
    </row>
    <row r="11" spans="1:11" x14ac:dyDescent="0.25">
      <c r="A11" s="13"/>
      <c r="B11" s="13"/>
      <c r="C11" s="13"/>
      <c r="D11" s="13"/>
      <c r="E11" s="1" t="s">
        <v>5</v>
      </c>
      <c r="F11" s="1">
        <v>100</v>
      </c>
      <c r="G11" s="1">
        <v>80</v>
      </c>
      <c r="H11" s="9"/>
    </row>
    <row r="12" spans="1:11" x14ac:dyDescent="0.25">
      <c r="A12" s="12" t="s">
        <v>13</v>
      </c>
      <c r="B12" s="13"/>
      <c r="C12" s="13" t="s">
        <v>11</v>
      </c>
      <c r="D12" s="13"/>
      <c r="E12" s="1" t="s">
        <v>4</v>
      </c>
      <c r="F12" s="1">
        <v>100</v>
      </c>
      <c r="G12" s="1">
        <v>77.5</v>
      </c>
      <c r="H12" s="9">
        <f t="shared" ref="H12" si="1">SUM(G12:G14)/SUM(F12:F14)*100</f>
        <v>75</v>
      </c>
    </row>
    <row r="13" spans="1:11" x14ac:dyDescent="0.25">
      <c r="A13" s="13"/>
      <c r="B13" s="13"/>
      <c r="C13" s="13"/>
      <c r="D13" s="13"/>
      <c r="E13" s="1" t="s">
        <v>6</v>
      </c>
      <c r="F13" s="1">
        <v>100</v>
      </c>
      <c r="G13" s="1">
        <v>75</v>
      </c>
      <c r="H13" s="9"/>
    </row>
    <row r="14" spans="1:11" x14ac:dyDescent="0.25">
      <c r="A14" s="13"/>
      <c r="B14" s="13"/>
      <c r="C14" s="13"/>
      <c r="D14" s="13"/>
      <c r="E14" s="1" t="s">
        <v>5</v>
      </c>
      <c r="F14" s="1">
        <v>100</v>
      </c>
      <c r="G14" s="1">
        <v>72.5</v>
      </c>
      <c r="H14" s="9"/>
    </row>
  </sheetData>
  <mergeCells count="13">
    <mergeCell ref="A9:B11"/>
    <mergeCell ref="C9:D11"/>
    <mergeCell ref="C12:D14"/>
    <mergeCell ref="A12:B14"/>
    <mergeCell ref="H9:H11"/>
    <mergeCell ref="H12:H14"/>
    <mergeCell ref="A1:K3"/>
    <mergeCell ref="A4:K4"/>
    <mergeCell ref="A5:B5"/>
    <mergeCell ref="C5:D5"/>
    <mergeCell ref="H6:H8"/>
    <mergeCell ref="A6:B8"/>
    <mergeCell ref="C6:D8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B41F3-438A-4EBB-A7FC-D884FC15488B}">
  <dimension ref="A1:N21"/>
  <sheetViews>
    <sheetView tabSelected="1" workbookViewId="0">
      <selection activeCell="A4" sqref="A4:H20"/>
    </sheetView>
  </sheetViews>
  <sheetFormatPr defaultRowHeight="15" x14ac:dyDescent="0.25"/>
  <cols>
    <col min="3" max="3" width="19.140625" customWidth="1"/>
    <col min="4" max="4" width="26.7109375" customWidth="1"/>
    <col min="5" max="5" width="24.28515625" customWidth="1"/>
    <col min="6" max="6" width="12.7109375" bestFit="1" customWidth="1"/>
    <col min="7" max="7" width="20.28515625" customWidth="1"/>
    <col min="8" max="8" width="13.7109375" customWidth="1"/>
    <col min="9" max="9" width="12.7109375" bestFit="1" customWidth="1"/>
    <col min="12" max="12" width="13.85546875" customWidth="1"/>
  </cols>
  <sheetData>
    <row r="1" spans="1:14" x14ac:dyDescent="0.25">
      <c r="A1" s="14" t="s">
        <v>15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x14ac:dyDescent="0.25">
      <c r="A4" s="13" t="s">
        <v>16</v>
      </c>
      <c r="B4" s="13"/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L4" s="6"/>
    </row>
    <row r="5" spans="1:14" x14ac:dyDescent="0.25">
      <c r="A5" s="13" t="s">
        <v>17</v>
      </c>
      <c r="B5" s="13"/>
      <c r="C5" s="3">
        <v>80</v>
      </c>
      <c r="D5" s="3">
        <v>61</v>
      </c>
      <c r="E5" s="3">
        <v>98</v>
      </c>
      <c r="F5" s="3">
        <v>80</v>
      </c>
      <c r="G5" s="2">
        <f>SUM(C5:F5)</f>
        <v>319</v>
      </c>
      <c r="H5">
        <f>G5*100/400</f>
        <v>79.75</v>
      </c>
    </row>
    <row r="6" spans="1:14" x14ac:dyDescent="0.25">
      <c r="A6" s="13" t="s">
        <v>18</v>
      </c>
      <c r="B6" s="13"/>
      <c r="C6" s="3">
        <v>69</v>
      </c>
      <c r="D6" s="3">
        <v>65</v>
      </c>
      <c r="E6" s="3">
        <v>98</v>
      </c>
      <c r="F6" s="3">
        <v>69</v>
      </c>
      <c r="G6" s="2">
        <f t="shared" ref="G6:G20" si="0">SUM(C6:F6)</f>
        <v>301</v>
      </c>
      <c r="H6">
        <f t="shared" ref="H6:H20" si="1">G6*100/400</f>
        <v>75.25</v>
      </c>
    </row>
    <row r="7" spans="1:14" x14ac:dyDescent="0.25">
      <c r="A7" s="13" t="s">
        <v>19</v>
      </c>
      <c r="B7" s="13"/>
      <c r="C7" s="3">
        <v>87</v>
      </c>
      <c r="D7" s="3">
        <v>67</v>
      </c>
      <c r="E7" s="3">
        <v>89</v>
      </c>
      <c r="F7" s="3">
        <v>87</v>
      </c>
      <c r="G7" s="2">
        <f t="shared" si="0"/>
        <v>330</v>
      </c>
      <c r="H7">
        <f t="shared" si="1"/>
        <v>82.5</v>
      </c>
      <c r="L7" s="2" t="s">
        <v>39</v>
      </c>
    </row>
    <row r="8" spans="1:14" x14ac:dyDescent="0.25">
      <c r="A8" s="13" t="s">
        <v>20</v>
      </c>
      <c r="B8" s="13"/>
      <c r="C8" s="3">
        <v>78</v>
      </c>
      <c r="D8" s="3">
        <v>68</v>
      </c>
      <c r="E8" s="3">
        <v>87</v>
      </c>
      <c r="F8" s="3">
        <v>78</v>
      </c>
      <c r="G8" s="2">
        <f t="shared" si="0"/>
        <v>311</v>
      </c>
      <c r="H8">
        <f t="shared" si="1"/>
        <v>77.75</v>
      </c>
      <c r="L8" s="2">
        <f>AVERAGE(G5:G20)</f>
        <v>318.75</v>
      </c>
    </row>
    <row r="9" spans="1:14" x14ac:dyDescent="0.25">
      <c r="A9" s="13" t="s">
        <v>21</v>
      </c>
      <c r="B9" s="13"/>
      <c r="C9" s="3">
        <v>67</v>
      </c>
      <c r="D9" s="3">
        <v>69</v>
      </c>
      <c r="E9" s="3">
        <v>87</v>
      </c>
      <c r="F9" s="3">
        <v>67</v>
      </c>
      <c r="G9" s="2">
        <f t="shared" si="0"/>
        <v>290</v>
      </c>
      <c r="H9">
        <f t="shared" si="1"/>
        <v>72.5</v>
      </c>
    </row>
    <row r="10" spans="1:14" x14ac:dyDescent="0.25">
      <c r="A10" s="13" t="s">
        <v>22</v>
      </c>
      <c r="B10" s="13"/>
      <c r="C10" s="3">
        <v>87</v>
      </c>
      <c r="D10" s="3">
        <v>76</v>
      </c>
      <c r="E10" s="3">
        <v>87</v>
      </c>
      <c r="F10" s="3">
        <v>87</v>
      </c>
      <c r="G10" s="2">
        <f t="shared" si="0"/>
        <v>337</v>
      </c>
      <c r="H10">
        <f t="shared" si="1"/>
        <v>84.25</v>
      </c>
    </row>
    <row r="11" spans="1:14" x14ac:dyDescent="0.25">
      <c r="A11" s="13" t="s">
        <v>23</v>
      </c>
      <c r="B11" s="13"/>
      <c r="C11" s="3">
        <v>89</v>
      </c>
      <c r="D11" s="3">
        <v>78</v>
      </c>
      <c r="E11" s="3">
        <v>87</v>
      </c>
      <c r="F11" s="3">
        <v>89</v>
      </c>
      <c r="G11" s="2">
        <f t="shared" si="0"/>
        <v>343</v>
      </c>
      <c r="H11">
        <f t="shared" si="1"/>
        <v>85.75</v>
      </c>
    </row>
    <row r="12" spans="1:14" x14ac:dyDescent="0.25">
      <c r="A12" s="13" t="s">
        <v>24</v>
      </c>
      <c r="B12" s="13"/>
      <c r="C12" s="3">
        <v>98</v>
      </c>
      <c r="D12" s="3">
        <v>78</v>
      </c>
      <c r="E12" s="3">
        <v>80</v>
      </c>
      <c r="F12" s="3">
        <v>98</v>
      </c>
      <c r="G12" s="2">
        <f t="shared" si="0"/>
        <v>354</v>
      </c>
      <c r="H12">
        <f t="shared" si="1"/>
        <v>88.5</v>
      </c>
    </row>
    <row r="13" spans="1:14" x14ac:dyDescent="0.25">
      <c r="A13" s="13" t="s">
        <v>25</v>
      </c>
      <c r="B13" s="13"/>
      <c r="C13" s="3">
        <v>78</v>
      </c>
      <c r="D13" s="3">
        <v>80</v>
      </c>
      <c r="E13" s="3">
        <v>78</v>
      </c>
      <c r="F13" s="3">
        <v>78</v>
      </c>
      <c r="G13" s="2">
        <f t="shared" si="0"/>
        <v>314</v>
      </c>
      <c r="H13">
        <f t="shared" si="1"/>
        <v>78.5</v>
      </c>
    </row>
    <row r="14" spans="1:14" x14ac:dyDescent="0.25">
      <c r="A14" s="13" t="s">
        <v>26</v>
      </c>
      <c r="B14" s="13"/>
      <c r="C14" s="3">
        <v>68</v>
      </c>
      <c r="D14" s="3">
        <v>87</v>
      </c>
      <c r="E14" s="3">
        <v>78</v>
      </c>
      <c r="F14" s="3">
        <v>68</v>
      </c>
      <c r="G14" s="2">
        <f t="shared" si="0"/>
        <v>301</v>
      </c>
      <c r="H14">
        <f t="shared" si="1"/>
        <v>75.25</v>
      </c>
    </row>
    <row r="15" spans="1:14" x14ac:dyDescent="0.25">
      <c r="A15" s="13" t="s">
        <v>27</v>
      </c>
      <c r="B15" s="13"/>
      <c r="C15" s="3">
        <v>65</v>
      </c>
      <c r="D15" s="3">
        <v>87</v>
      </c>
      <c r="E15" s="3">
        <v>76</v>
      </c>
      <c r="F15" s="3">
        <v>65</v>
      </c>
      <c r="G15" s="2">
        <f t="shared" si="0"/>
        <v>293</v>
      </c>
      <c r="H15">
        <f t="shared" si="1"/>
        <v>73.25</v>
      </c>
    </row>
    <row r="16" spans="1:14" x14ac:dyDescent="0.25">
      <c r="A16" s="13" t="s">
        <v>28</v>
      </c>
      <c r="B16" s="13"/>
      <c r="C16" s="3">
        <v>61</v>
      </c>
      <c r="D16" s="3">
        <v>87</v>
      </c>
      <c r="E16" s="3">
        <v>69</v>
      </c>
      <c r="F16" s="3">
        <v>61</v>
      </c>
      <c r="G16" s="2">
        <f t="shared" si="0"/>
        <v>278</v>
      </c>
      <c r="H16">
        <f t="shared" si="1"/>
        <v>69.5</v>
      </c>
    </row>
    <row r="17" spans="1:8" x14ac:dyDescent="0.25">
      <c r="A17" s="13" t="s">
        <v>29</v>
      </c>
      <c r="B17" s="13"/>
      <c r="C17" s="3">
        <v>87</v>
      </c>
      <c r="D17" s="3">
        <v>87</v>
      </c>
      <c r="E17" s="3">
        <v>68</v>
      </c>
      <c r="F17" s="3">
        <v>87</v>
      </c>
      <c r="G17" s="2">
        <f t="shared" si="0"/>
        <v>329</v>
      </c>
      <c r="H17">
        <f t="shared" si="1"/>
        <v>82.25</v>
      </c>
    </row>
    <row r="18" spans="1:8" x14ac:dyDescent="0.25">
      <c r="A18" s="13" t="s">
        <v>30</v>
      </c>
      <c r="B18" s="13"/>
      <c r="C18" s="3">
        <v>76</v>
      </c>
      <c r="D18" s="3">
        <v>89</v>
      </c>
      <c r="E18" s="3">
        <v>67</v>
      </c>
      <c r="F18" s="3">
        <v>76</v>
      </c>
      <c r="G18" s="2">
        <f t="shared" si="0"/>
        <v>308</v>
      </c>
      <c r="H18">
        <f t="shared" si="1"/>
        <v>77</v>
      </c>
    </row>
    <row r="19" spans="1:8" x14ac:dyDescent="0.25">
      <c r="A19" s="13" t="s">
        <v>31</v>
      </c>
      <c r="B19" s="13"/>
      <c r="C19" s="3">
        <v>98</v>
      </c>
      <c r="D19" s="3">
        <v>98</v>
      </c>
      <c r="E19" s="3">
        <v>65</v>
      </c>
      <c r="F19" s="3">
        <v>98</v>
      </c>
      <c r="G19" s="2">
        <f t="shared" si="0"/>
        <v>359</v>
      </c>
      <c r="H19">
        <f t="shared" si="1"/>
        <v>89.75</v>
      </c>
    </row>
    <row r="20" spans="1:8" x14ac:dyDescent="0.25">
      <c r="A20" s="13" t="s">
        <v>32</v>
      </c>
      <c r="B20" s="13"/>
      <c r="C20" s="3">
        <v>87</v>
      </c>
      <c r="D20" s="3">
        <v>98</v>
      </c>
      <c r="E20" s="3">
        <v>61</v>
      </c>
      <c r="F20" s="3">
        <v>87</v>
      </c>
      <c r="G20" s="2">
        <f t="shared" si="0"/>
        <v>333</v>
      </c>
      <c r="H20">
        <f t="shared" si="1"/>
        <v>83.25</v>
      </c>
    </row>
    <row r="21" spans="1:8" x14ac:dyDescent="0.25">
      <c r="A21" s="3"/>
      <c r="B21" s="3"/>
      <c r="C21" s="3"/>
      <c r="D21" s="3"/>
      <c r="E21" s="3"/>
      <c r="F21" s="3"/>
    </row>
  </sheetData>
  <sortState xmlns:xlrd2="http://schemas.microsoft.com/office/spreadsheetml/2017/richdata2" ref="F5:F20">
    <sortCondition sortBy="fontColor" ref="F5:F20"/>
  </sortState>
  <mergeCells count="18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10:B10"/>
    <mergeCell ref="A1:N3"/>
    <mergeCell ref="A4:B4"/>
    <mergeCell ref="A5:B5"/>
    <mergeCell ref="A6:B6"/>
    <mergeCell ref="A7:B7"/>
    <mergeCell ref="A8:B8"/>
    <mergeCell ref="A9:B9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Xdevil</dc:creator>
  <cp:lastModifiedBy>Xdevil</cp:lastModifiedBy>
  <dcterms:created xsi:type="dcterms:W3CDTF">2015-06-05T18:17:20Z</dcterms:created>
  <dcterms:modified xsi:type="dcterms:W3CDTF">2025-10-26T06:10:14Z</dcterms:modified>
</cp:coreProperties>
</file>