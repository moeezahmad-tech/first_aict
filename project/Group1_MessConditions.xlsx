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tables/table6.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8.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9.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10.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tables/table11.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mc:AlternateContent xmlns:mc="http://schemas.openxmlformats.org/markup-compatibility/2006">
    <mc:Choice Requires="x15">
      <x15ac:absPath xmlns:x15ac="http://schemas.microsoft.com/office/spreadsheetml/2010/11/ac" url="E:\uni\AICT\project\"/>
    </mc:Choice>
  </mc:AlternateContent>
  <xr:revisionPtr revIDLastSave="0" documentId="13_ncr:1_{27B0680B-B2C6-482D-BD11-79FAE6EBA73F}" xr6:coauthVersionLast="47" xr6:coauthVersionMax="47" xr10:uidLastSave="{00000000-0000-0000-0000-000000000000}"/>
  <bookViews>
    <workbookView xWindow="-120" yWindow="-120" windowWidth="29040" windowHeight="15720" tabRatio="857" xr2:uid="{00000000-000D-0000-FFFF-FFFF00000000}"/>
  </bookViews>
  <sheets>
    <sheet name="Total Sheet" sheetId="9" r:id="rId1"/>
    <sheet name="Minimal Sheet" sheetId="1" r:id="rId2"/>
    <sheet name="Timings" sheetId="13" r:id="rId3"/>
    <sheet name="Rating" sheetId="12" r:id="rId4"/>
    <sheet name="Short Answers" sheetId="7" r:id="rId5"/>
    <sheet name="Quality of Food" sheetId="10" r:id="rId6"/>
    <sheet name="Hostels" sheetId="3" r:id="rId7"/>
    <sheet name="Gender" sheetId="4" r:id="rId8"/>
    <sheet name="Meat Situation" sheetId="5" r:id="rId9"/>
    <sheet name="Eat from Hostel" sheetId="6" r:id="rId10"/>
    <sheet name="Food Quaility by Prices" sheetId="11" r:id="rId11"/>
    <sheet name="Mess bill" sheetId="16"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16" l="1"/>
  <c r="E10" i="16"/>
  <c r="E9" i="16"/>
  <c r="B4" i="11"/>
  <c r="B7" i="6"/>
  <c r="B4" i="5"/>
  <c r="B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4" authorId="0" shapeId="0" xr:uid="{2EE0A3B6-A246-44F4-947A-31F4A7D35B96}">
      <text>
        <r>
          <rPr>
            <sz val="10"/>
            <color rgb="FF000000"/>
            <rFont val="Calibri"/>
            <family val="2"/>
            <scheme val="minor"/>
          </rPr>
          <t>Responder updated this value.</t>
        </r>
      </text>
    </comment>
    <comment ref="J34" authorId="0" shapeId="0" xr:uid="{D76D4F87-6E50-49B0-9BB2-C90176779EC5}">
      <text>
        <r>
          <rPr>
            <sz val="10"/>
            <color rgb="FF000000"/>
            <rFont val="Calibri"/>
            <family val="2"/>
            <scheme val="minor"/>
          </rPr>
          <t>Responder updated this value.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BDB6CC36-F331-4525-A42F-31075DBFEA22}">
      <text>
        <r>
          <rPr>
            <sz val="10"/>
            <color rgb="FF000000"/>
            <rFont val="Calibri"/>
            <family val="2"/>
            <scheme val="minor"/>
          </rPr>
          <t>Responder updated this value.</t>
        </r>
      </text>
    </comment>
    <comment ref="B5" authorId="0" shapeId="0" xr:uid="{48907F7C-D197-4ECE-9761-52AA590B48EF}">
      <text>
        <r>
          <rPr>
            <sz val="10"/>
            <color rgb="FF000000"/>
            <rFont val="Calibri"/>
            <family val="2"/>
            <scheme val="minor"/>
          </rPr>
          <t>Responder updated this value.</t>
        </r>
      </text>
    </comment>
  </commentList>
</comments>
</file>

<file path=xl/sharedStrings.xml><?xml version="1.0" encoding="utf-8"?>
<sst xmlns="http://schemas.openxmlformats.org/spreadsheetml/2006/main" count="1121" uniqueCount="288">
  <si>
    <t xml:space="preserve">Anas Iqbal </t>
  </si>
  <si>
    <t>2025-GA-73</t>
  </si>
  <si>
    <t>Abdul Sattar Eidi hostel</t>
  </si>
  <si>
    <t>Male</t>
  </si>
  <si>
    <t>https://drive.google.com/open?id=17jtRkT6lNEx0z7Pd4BGiDLxyLKvQD3Ox</t>
  </si>
  <si>
    <t xml:space="preserve">Bahawalnagar </t>
  </si>
  <si>
    <t>No</t>
  </si>
  <si>
    <t>Yes</t>
  </si>
  <si>
    <t>Always</t>
  </si>
  <si>
    <t>Very bad</t>
  </si>
  <si>
    <t>Health hazardous mess and oil is very bad</t>
  </si>
  <si>
    <t>Khadija Sohail</t>
  </si>
  <si>
    <t>2025-SE-201</t>
  </si>
  <si>
    <t>New girls hostel</t>
  </si>
  <si>
    <t>Female</t>
  </si>
  <si>
    <t>https://drive.google.com/open?id=15_PArCdXBGXgONNQ8OLjDR3Dhs9n307k</t>
  </si>
  <si>
    <t xml:space="preserve">Faisalabad </t>
  </si>
  <si>
    <t>Sometimes</t>
  </si>
  <si>
    <t>Neutral</t>
  </si>
  <si>
    <t>We are being served chicken on daily basis. We want vegetables some days in mess.</t>
  </si>
  <si>
    <t>Ayesha</t>
  </si>
  <si>
    <t>2024_ee_152</t>
  </si>
  <si>
    <t xml:space="preserve">New girls hostel </t>
  </si>
  <si>
    <t>https://drive.google.com/open?id=1FZI8dT-pPmklihbZoitUIY9TmbTom4rP</t>
  </si>
  <si>
    <t>Often</t>
  </si>
  <si>
    <t>Bad</t>
  </si>
  <si>
    <t xml:space="preserve">Service charges should be lessen taste should be better </t>
  </si>
  <si>
    <t xml:space="preserve">Sheema Awais </t>
  </si>
  <si>
    <t>2025-AI-184</t>
  </si>
  <si>
    <t>https://drive.google.com/open?id=1nQBbDklmhTpbhrJg2le6F8DzGee6AS6v</t>
  </si>
  <si>
    <t xml:space="preserve">Gujranwala </t>
  </si>
  <si>
    <t xml:space="preserve">Mention the price of meal on attendance sheet/register </t>
  </si>
  <si>
    <t>Ghulam Mustafa</t>
  </si>
  <si>
    <t>2025-RIS-98</t>
  </si>
  <si>
    <t>Mumtaaz hostel</t>
  </si>
  <si>
    <t>https://drive.google.com/open?id=1INZKwLprdvh3sqBxq8wAFjUL7NQ7cPr_</t>
  </si>
  <si>
    <t>Hafizabad</t>
  </si>
  <si>
    <t>Good</t>
  </si>
  <si>
    <t>The Mess Manager should include “Breakfast.” If he includes “Breakfast,” he should also add “Chai.”</t>
  </si>
  <si>
    <t>Rameesha</t>
  </si>
  <si>
    <t>2025-AI-62</t>
  </si>
  <si>
    <t>https://drive.google.com/open?id=1A1SWX0Df8I_JnCzQvp-Hm0EVoZyhZuSq</t>
  </si>
  <si>
    <t>Jauharabad,District khushab</t>
  </si>
  <si>
    <t xml:space="preserve">please low the mess charges and services charges as well ....
And also provide some sweet dish in a week </t>
  </si>
  <si>
    <t xml:space="preserve">Muhammad Junaid Amir </t>
  </si>
  <si>
    <t>2025-CS-193</t>
  </si>
  <si>
    <t xml:space="preserve">Mumtaaz hostel </t>
  </si>
  <si>
    <t>https://drive.google.com/open?id=18Mi_VxFodPBkcXTKPoqRkd4F5pF7T6jJ</t>
  </si>
  <si>
    <t xml:space="preserve">Jhang </t>
  </si>
  <si>
    <t>Rice dishes are very bad. I think they should be replaced by some other dishes like Karahi, kabab etc.</t>
  </si>
  <si>
    <t xml:space="preserve">Zulqarnain Haider </t>
  </si>
  <si>
    <t>2025-SE-280</t>
  </si>
  <si>
    <t>Zubair hostel</t>
  </si>
  <si>
    <t>https://drive.google.com/open?id=1OmBo4CaMchD0OFwgLzZOCVGIPDpTSk8I</t>
  </si>
  <si>
    <t>Jhnag</t>
  </si>
  <si>
    <t>Occasionally</t>
  </si>
  <si>
    <t>I just want to suggest that keep some taste because everytime I used mess the taste was different and some times it's not able to bear so plz make it suitable for everyone.</t>
  </si>
  <si>
    <t>Sidra</t>
  </si>
  <si>
    <t>2025-CIV-51</t>
  </si>
  <si>
    <t>https://drive.google.com/open?id=1XhePdvpg-vgwtxEz52yurCsVwXhyOw5V</t>
  </si>
  <si>
    <t xml:space="preserve">Kamalia </t>
  </si>
  <si>
    <t xml:space="preserve">Don't make chicken very often </t>
  </si>
  <si>
    <t>SUFYAN KHAN AWAN</t>
  </si>
  <si>
    <t>2025_CIV_168</t>
  </si>
  <si>
    <t>https://drive.google.com/open?id=1dXja-DKS4uwuz0aHB8TaucAXIoIyjqNc</t>
  </si>
  <si>
    <t>Khanewal</t>
  </si>
  <si>
    <t>Special dishes like kababs and other fast foods should also be in the mess</t>
  </si>
  <si>
    <t>Imama Tariq</t>
  </si>
  <si>
    <t>2025-BBIT-295</t>
  </si>
  <si>
    <t>https://drive.google.com/open?id=1_NakvdKu2U7poPHEqNw3x06_yiQlW9rc</t>
  </si>
  <si>
    <t>Mandi bhauddin</t>
  </si>
  <si>
    <t xml:space="preserve">Hamza Gull </t>
  </si>
  <si>
    <t>2025-CHY-20</t>
  </si>
  <si>
    <t>https://drive.google.com/open?id=1UW-TaitXAmSNrCTlLx8valaShIyFac99</t>
  </si>
  <si>
    <t>Mianwali</t>
  </si>
  <si>
    <t xml:space="preserve">Need for best quality of food </t>
  </si>
  <si>
    <t xml:space="preserve">Maryam Ahmad </t>
  </si>
  <si>
    <t xml:space="preserve">2025-AI-68 </t>
  </si>
  <si>
    <t>https://drive.google.com/open?id=13rXVe1jd452kTgwxbwymTta81MPn9Hlu</t>
  </si>
  <si>
    <t xml:space="preserve">Pakpattan </t>
  </si>
  <si>
    <t xml:space="preserve">We are given only one piece of chicken plz double the piece of chicken </t>
  </si>
  <si>
    <t>Muneeba Aslam</t>
  </si>
  <si>
    <t>2025(s)cys64</t>
  </si>
  <si>
    <t>https://drive.google.com/open?id=16dATyCKZdzNSYnVLvl1CVlMwoo9juLYz</t>
  </si>
  <si>
    <t>Rahim Yar Khan</t>
  </si>
  <si>
    <t xml:space="preserve">replace chicken and provided breakfast </t>
  </si>
  <si>
    <t xml:space="preserve">Misbah Khalid </t>
  </si>
  <si>
    <t>2025cs41</t>
  </si>
  <si>
    <t>https://drive.google.com/open?id=1ZMFxzXunpQLLhq4gqifaVFJOhc4_kjiM</t>
  </si>
  <si>
    <t>Sharaqpur sharif</t>
  </si>
  <si>
    <t>Maidy ki roti should be replaced by wheat roti</t>
  </si>
  <si>
    <t>Amina Saleem</t>
  </si>
  <si>
    <t xml:space="preserve">2025EE156 </t>
  </si>
  <si>
    <t>https://drive.google.com/open?id=10vWeRxsR0l4r0wiwR5ES_JdMQ51U4sFo</t>
  </si>
  <si>
    <t xml:space="preserve">Sialkot </t>
  </si>
  <si>
    <t>Pleaseeeeee for gods sake reduce chicken. Add veggies and daal plus lentils. And meda ko kam krein. Please add gandum ki roti too. And NASHTA karaya krein. Hygeine ka khyal rakhein so we all dont get sick</t>
  </si>
  <si>
    <t xml:space="preserve">Muqadas Fatima </t>
  </si>
  <si>
    <t>2025 - BDA-111</t>
  </si>
  <si>
    <t>https://drive.google.com/open?id=17SRAfDUcDrj4PALsleuTelzaXHcqt_QD</t>
  </si>
  <si>
    <t>Taunsa shareef</t>
  </si>
  <si>
    <t xml:space="preserve">There are much service charges </t>
  </si>
  <si>
    <t xml:space="preserve">Adan Nadeem </t>
  </si>
  <si>
    <t xml:space="preserve">2025-PID-19 </t>
  </si>
  <si>
    <t>https://drive.google.com/open?id=1lTCyZei5-GdNAex8LzDlwBXC-b9nBRNZ</t>
  </si>
  <si>
    <t>Toba tek singh</t>
  </si>
  <si>
    <t>There should be timing for every floor so there would no crowd atleast 30 minutes each</t>
  </si>
  <si>
    <t xml:space="preserve">Sadia Shafiq </t>
  </si>
  <si>
    <t>2025-AI-2</t>
  </si>
  <si>
    <t>https://drive.google.com/open?id=1PEoXBvcl2V8zkf1fv4qCHRowl5Jk8Fbq</t>
  </si>
  <si>
    <t>Vehari</t>
  </si>
  <si>
    <t>Kindly give us wheat bread and remove chicken bcz they can't cook chicken properly.</t>
  </si>
  <si>
    <t xml:space="preserve">Khadija Anwar </t>
  </si>
  <si>
    <t>2025 AI 194</t>
  </si>
  <si>
    <t>https://drive.google.com/open?id=1qzSzpYwgR0axu_LF3xBZPwXM5X1Zyjsc</t>
  </si>
  <si>
    <t xml:space="preserve">Wazirabad </t>
  </si>
  <si>
    <t>Breakfast should be provided as we can't come from so far to eat the lunch and also can't spend the day without breakfast also they should reduce the amount of chicken they make and roti they should make some rice dishes as well</t>
  </si>
  <si>
    <t xml:space="preserve">Shabiyan Abbas </t>
  </si>
  <si>
    <t>2025-ME-132</t>
  </si>
  <si>
    <t xml:space="preserve">Zubair hostel </t>
  </si>
  <si>
    <t>https://drive.google.com/open?id=17ooarifT4xeT4p8xCAEjyXKr6nzywaE1</t>
  </si>
  <si>
    <t xml:space="preserve">Bahawalpur </t>
  </si>
  <si>
    <t xml:space="preserve">I would say that mess should lower their service charges and add more foods items on the menu, that way we can have more items to eat from like tea or something sweets someday in the week. </t>
  </si>
  <si>
    <t>Tahira Batool</t>
  </si>
  <si>
    <t>2025-GA-44</t>
  </si>
  <si>
    <t>https://drive.google.com/open?id=1lJL5kMmqkYne8jjySv5F1QOs1HR5oC63</t>
  </si>
  <si>
    <t xml:space="preserve">Chichawatni </t>
  </si>
  <si>
    <t xml:space="preserve">Make less chicken and lentils, and cook more vegetables. 
</t>
  </si>
  <si>
    <t xml:space="preserve">Khansa Shakeel </t>
  </si>
  <si>
    <t>2025-GA-62</t>
  </si>
  <si>
    <t xml:space="preserve">Umer hostel </t>
  </si>
  <si>
    <t>https://drive.google.com/open?id=1XOw4I5JWY7x-kTPJrAYuHLQ1_981o7Zv</t>
  </si>
  <si>
    <t xml:space="preserve">Chishtian </t>
  </si>
  <si>
    <t>Everything is fine, but they should use wheat flour instead of refined flour.</t>
  </si>
  <si>
    <t xml:space="preserve">Muhammad Muaz Ali </t>
  </si>
  <si>
    <t>2025-GA-80</t>
  </si>
  <si>
    <t>https://drive.google.com/open?id=1kKATqcDuut3gvmoi3aJ3JQbrahllyDvG</t>
  </si>
  <si>
    <t>Faisalabad</t>
  </si>
  <si>
    <t>It should be improved</t>
  </si>
  <si>
    <t>Umair Abu Bakar</t>
  </si>
  <si>
    <t>2025-GA-04</t>
  </si>
  <si>
    <t>https://drive.google.com/open?id=1YpHLDY4QMDEj3peV9Imd5femEjx7f0Pv</t>
  </si>
  <si>
    <t>Gujranwala</t>
  </si>
  <si>
    <t>The mess should change it's timing. And they shoyld also include some more chicken items.</t>
  </si>
  <si>
    <t>Shawaiz Ahmad</t>
  </si>
  <si>
    <t>2025-GE-15</t>
  </si>
  <si>
    <t>https://drive.google.com/open?id=1yKX8ARkTIoxDblxZf0Eox8pJMs9WmQZY</t>
  </si>
  <si>
    <t>They should add seasonal fruits, vegetables and food such as ladyfinger, fish and oranges etc. They should also add hot beverages such as tea and coffee in the menu.</t>
  </si>
  <si>
    <t xml:space="preserve">Zaineb nadeem </t>
  </si>
  <si>
    <t>2025-(S)-CS-07</t>
  </si>
  <si>
    <t>https://drive.google.com/open?id=1vLqhdEkhYPeHkweuS0SRWpiFEgV1Mers</t>
  </si>
  <si>
    <t xml:space="preserve">Use less oil but of good quality clean Cutlery properly </t>
  </si>
  <si>
    <t>ABDUL WAHAB</t>
  </si>
  <si>
    <t>2025-MM-1</t>
  </si>
  <si>
    <t>Iqbal hostel</t>
  </si>
  <si>
    <t>https://drive.google.com/open?id=16XakUsFJsyp2xkyUlbGC98stqNZ7nyyI</t>
  </si>
  <si>
    <t>Gujrat</t>
  </si>
  <si>
    <t xml:space="preserve">NOTHING </t>
  </si>
  <si>
    <t>Saad Asim</t>
  </si>
  <si>
    <t>2025-CIV-147</t>
  </si>
  <si>
    <t>https://drive.google.com/open?id=1ymazR7lGyNB1eskNmjG8HZtFtGweEMV4</t>
  </si>
  <si>
    <t xml:space="preserve">Jaranwala </t>
  </si>
  <si>
    <t xml:space="preserve">Duresaher </t>
  </si>
  <si>
    <t xml:space="preserve">2024ch74 </t>
  </si>
  <si>
    <t>Khadija hostel</t>
  </si>
  <si>
    <t>https://drive.google.com/open?id=1NcmC8ISNDU2yI9JqZM-RtStjjt5AxOZP</t>
  </si>
  <si>
    <t xml:space="preserve">Jauharabad </t>
  </si>
  <si>
    <t xml:space="preserve">Please improve </t>
  </si>
  <si>
    <t>Sameer Ahmad</t>
  </si>
  <si>
    <t>2025-SE-27</t>
  </si>
  <si>
    <t>https://drive.google.com/open?id=18VtidAaXOv3qpBnCEnba4uDgdqEzD6SA</t>
  </si>
  <si>
    <t>Narowal</t>
  </si>
  <si>
    <t>Improve the food quality</t>
  </si>
  <si>
    <t xml:space="preserve">Muhammad Shahbaz </t>
  </si>
  <si>
    <t xml:space="preserve">2025-CIV-228 </t>
  </si>
  <si>
    <t>https://drive.google.com/open?id=1oS4fQGDIu901FDehNbY_vGPBeBviQmOX</t>
  </si>
  <si>
    <t xml:space="preserve">It can be better </t>
  </si>
  <si>
    <t xml:space="preserve">Khizra Fatima </t>
  </si>
  <si>
    <t>2025-BBA-197</t>
  </si>
  <si>
    <t xml:space="preserve">Umar hostel </t>
  </si>
  <si>
    <t>https://drive.google.com/open?id=1cpsEa-FNYjreK6APY30VAF8rElHWZLxI</t>
  </si>
  <si>
    <t>Pasrur</t>
  </si>
  <si>
    <t xml:space="preserve">Change timing </t>
  </si>
  <si>
    <t xml:space="preserve">Sabeen Waqas </t>
  </si>
  <si>
    <t>2025-GA-48</t>
  </si>
  <si>
    <t>Umer hostel</t>
  </si>
  <si>
    <t>https://drive.google.com/open?id=16OwUni-C2vZWJBX6DOd8Iz_6bmbOQk5c</t>
  </si>
  <si>
    <t>Pirmahal</t>
  </si>
  <si>
    <t xml:space="preserve">Try to make Less oily food. </t>
  </si>
  <si>
    <t>Ali Hassan</t>
  </si>
  <si>
    <t>IEM-24-25</t>
  </si>
  <si>
    <t>https://drive.google.com/open?id=1ym_Ucr5a7zP9RhwGxUYU-1SxVfgF0MLC</t>
  </si>
  <si>
    <t xml:space="preserve">Sadiqabad </t>
  </si>
  <si>
    <t>Nill</t>
  </si>
  <si>
    <t>Fatima waheed</t>
  </si>
  <si>
    <t>2025-GA-88</t>
  </si>
  <si>
    <t>https://drive.google.com/open?id=1-IhIG-FKn17-0mGdplj1DiFPxrgvuCvk</t>
  </si>
  <si>
    <t>Sahiwal</t>
  </si>
  <si>
    <t>Mess situation is very much satisfied regarding food and quality i would prefer to eat through mess instead of cafeterias</t>
  </si>
  <si>
    <t xml:space="preserve">Muhammad Ali </t>
  </si>
  <si>
    <t>2025-ES-45</t>
  </si>
  <si>
    <t>https://drive.google.com/open?id=1asKzngokQxEQ1hkIAAsec8Nw7vOxSMqA</t>
  </si>
  <si>
    <t xml:space="preserve">Sahiwal </t>
  </si>
  <si>
    <t xml:space="preserve">Improve service </t>
  </si>
  <si>
    <t xml:space="preserve">Mominah Ashraf </t>
  </si>
  <si>
    <t>2025-DS-14</t>
  </si>
  <si>
    <t>https://drive.google.com/open?id=1xS3z639ltQP3qUpZnCs1FnYRic9o8YAi</t>
  </si>
  <si>
    <t xml:space="preserve">Meat is the main issue we all are sick by eating the same food same taste again and again and again </t>
  </si>
  <si>
    <t xml:space="preserve">Zoha Shafique </t>
  </si>
  <si>
    <t>2025-CS-490</t>
  </si>
  <si>
    <t>https://drive.google.com/open?id=1IAxGMngT1urvIkGj4f4Zhst4LFFUqWsH</t>
  </si>
  <si>
    <t xml:space="preserve">Change menu every week </t>
  </si>
  <si>
    <t xml:space="preserve">Nimra Arshad </t>
  </si>
  <si>
    <t>2025-DS-160</t>
  </si>
  <si>
    <t>https://drive.google.com/open?id=1ruQPLo9DL2ZYW0fKMJSSMUq5naCOUA86</t>
  </si>
  <si>
    <t>Sialkot</t>
  </si>
  <si>
    <t xml:space="preserve">stop making too much chicken and include some daals
</t>
  </si>
  <si>
    <t xml:space="preserve">Uswa Fatima </t>
  </si>
  <si>
    <t xml:space="preserve">2025(S)-CYS-35 </t>
  </si>
  <si>
    <t>https://drive.google.com/open?id=11nYe2ZCW9lFuppBacTqPeOFvLY3HsEIf</t>
  </si>
  <si>
    <t xml:space="preserve">Keep it more better </t>
  </si>
  <si>
    <t xml:space="preserve">Yashal Burhan </t>
  </si>
  <si>
    <t>2025-MC-40</t>
  </si>
  <si>
    <t>https://drive.google.com/open?id=1O4YdqjTas7-CmBCszRWVUsV4B4IOJAFp</t>
  </si>
  <si>
    <t xml:space="preserve">No suggestions because they won't be heard </t>
  </si>
  <si>
    <t>Umar Naeem</t>
  </si>
  <si>
    <t>2025-GE-16</t>
  </si>
  <si>
    <t>https://drive.google.com/open?id=1ilg6zqPgloSlp0jjZECG4NHsCxYIDm3O</t>
  </si>
  <si>
    <t>Wazirabad</t>
  </si>
  <si>
    <t>I wanna appeal to mess that please extend the timing of evening shift to about 7 30. The rest i want to ask mess to make their service more better.</t>
  </si>
  <si>
    <t>khushab</t>
  </si>
  <si>
    <t>Names</t>
  </si>
  <si>
    <t>Hall Name</t>
  </si>
  <si>
    <t>Gender</t>
  </si>
  <si>
    <t>City</t>
  </si>
  <si>
    <t>Mess Bill</t>
  </si>
  <si>
    <t>Payable Bill</t>
  </si>
  <si>
    <t>Meat is a part</t>
  </si>
  <si>
    <t>Rating Out of 5</t>
  </si>
  <si>
    <t>Food is safe for Health</t>
  </si>
  <si>
    <t>Prices are Good</t>
  </si>
  <si>
    <t>Quality of Food</t>
  </si>
  <si>
    <t>Count</t>
  </si>
  <si>
    <t>Hostal Name</t>
  </si>
  <si>
    <t>Hostal Name Visiters From</t>
  </si>
  <si>
    <t>Eat From Hostal</t>
  </si>
  <si>
    <t>Mention the price of meal on attendance sheet/register</t>
  </si>
  <si>
    <t>Do you think the Cafe food is better than Mess</t>
  </si>
  <si>
    <t>Timestamp</t>
  </si>
  <si>
    <t>What is your name</t>
  </si>
  <si>
    <t>What is your registration number</t>
  </si>
  <si>
    <t>What is your hostel Name</t>
  </si>
  <si>
    <t>Any proof that you're a student of UET (Offer Letter / Registration Slip) [Max Size : 10MB]</t>
  </si>
  <si>
    <t xml:space="preserve">What city are you originally from? </t>
  </si>
  <si>
    <t>What was your recent monthly bill of the mess?</t>
  </si>
  <si>
    <t>What is your rating for the current food situation in the mess</t>
  </si>
  <si>
    <t>What are your suggestions for the mess situation?</t>
  </si>
  <si>
    <t>Rate 1</t>
  </si>
  <si>
    <t>Rate 2</t>
  </si>
  <si>
    <t>Rate 3</t>
  </si>
  <si>
    <t>Rate 4</t>
  </si>
  <si>
    <t>Rate 5</t>
  </si>
  <si>
    <t>Registration Number</t>
  </si>
  <si>
    <t>Column1</t>
  </si>
  <si>
    <t>Name</t>
  </si>
  <si>
    <t>Comments</t>
  </si>
  <si>
    <t>Very good</t>
  </si>
  <si>
    <t>Total</t>
  </si>
  <si>
    <t>Meat Available or not</t>
  </si>
  <si>
    <t>Eat From Hostel</t>
  </si>
  <si>
    <t>Never</t>
  </si>
  <si>
    <t>Abdul wahab</t>
  </si>
  <si>
    <t>Recent monthly bill of your hostel mess</t>
  </si>
  <si>
    <t xml:space="preserve">Name </t>
  </si>
  <si>
    <t>Bill</t>
  </si>
  <si>
    <t>Cafe is Better than Mess</t>
  </si>
  <si>
    <t>it is like hone food lkin ghr k khna nhi hai yar har din chocken chicken hota hai our mess k khny m include hona chya mtlb koi metha ya fr tea our us k sth gandum k roti k pratha hona chya kia roz maida maida ouour agr srdiyo m ubla hua anda saln k sth ho t maza h ajae</t>
  </si>
  <si>
    <t>Result</t>
  </si>
  <si>
    <t>it is like hone food lkin ghr k khna nhi hai yar har din chocken chicken hota hai our mess k khny m include hona chya mtlb koi metha ya fr tea our us k sth gandum k ri nhi khae jati our agr srdiyo m ubla hua anda saln k sth ho t maza h ajae</t>
  </si>
  <si>
    <t>Meat is Available or not</t>
  </si>
  <si>
    <t>Reviews For Food</t>
  </si>
  <si>
    <t>Min</t>
  </si>
  <si>
    <t>Max</t>
  </si>
  <si>
    <t>Avg</t>
  </si>
  <si>
    <t>Field</t>
  </si>
  <si>
    <t>Value</t>
  </si>
  <si>
    <t>Morning</t>
  </si>
  <si>
    <t>Evening</t>
  </si>
  <si>
    <t>Agree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</si>
</sst>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PKR]\ #,##0.00"/>
    <numFmt numFmtId="165" formatCode="[$PKR]\ #,##0"/>
  </numFmts>
  <fonts count="7" x14ac:knownFonts="1">
    <font>
      <sz val="11"/>
      <color theme="1"/>
      <name val="Calibri"/>
      <family val="2"/>
      <scheme val="minor"/>
    </font>
    <font>
      <sz val="11"/>
      <color theme="1"/>
      <name val="Calibri"/>
      <family val="2"/>
      <scheme val="minor"/>
    </font>
    <font>
      <sz val="11"/>
      <color theme="0"/>
      <name val="Calibri"/>
      <family val="2"/>
      <scheme val="minor"/>
    </font>
    <font>
      <sz val="8"/>
      <name val="Calibri"/>
      <family val="2"/>
      <scheme val="minor"/>
    </font>
    <font>
      <sz val="10"/>
      <color rgb="FF000000"/>
      <name val="Calibri"/>
      <family val="2"/>
      <scheme val="minor"/>
    </font>
    <font>
      <b/>
      <sz val="11"/>
      <color theme="1"/>
      <name val="Calibri"/>
      <family val="2"/>
      <scheme val="minor"/>
    </font>
    <font>
      <sz val="11"/>
      <color theme="1"/>
      <name val="Times New Roman"/>
      <family val="1"/>
    </font>
  </fonts>
  <fills count="9">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theme="5"/>
      </patternFill>
    </fill>
    <fill>
      <patternFill patternType="solid">
        <fgColor theme="5" tint="0.79998168889431442"/>
        <bgColor indexed="65"/>
      </patternFill>
    </fill>
    <fill>
      <patternFill patternType="solid">
        <fgColor theme="4"/>
      </patternFill>
    </fill>
    <fill>
      <patternFill patternType="solid">
        <fgColor theme="8" tint="0.39997558519241921"/>
        <bgColor indexed="65"/>
      </patternFill>
    </fill>
    <fill>
      <patternFill patternType="solid">
        <fgColor theme="4" tint="0.79998168889431442"/>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bottom style="thin">
        <color rgb="FF999999"/>
      </bottom>
      <diagonal/>
    </border>
    <border>
      <left style="thin">
        <color rgb="FF999999"/>
      </left>
      <right style="thin">
        <color rgb="FF999999"/>
      </right>
      <top/>
      <bottom style="thin">
        <color rgb="FF999999"/>
      </bottom>
      <diagonal/>
    </border>
  </borders>
  <cellStyleXfs count="6">
    <xf numFmtId="0" fontId="0" fillId="0" borderId="0"/>
    <xf numFmtId="0" fontId="1" fillId="2" borderId="0" applyNumberFormat="0" applyBorder="0" applyAlignment="0" applyProtection="0"/>
    <xf numFmtId="0" fontId="2" fillId="4" borderId="0" applyNumberFormat="0" applyBorder="0" applyAlignment="0" applyProtection="0"/>
    <xf numFmtId="0" fontId="1" fillId="5" borderId="0" applyNumberFormat="0" applyBorder="0" applyAlignment="0" applyProtection="0"/>
    <xf numFmtId="0" fontId="2" fillId="6" borderId="0" applyNumberFormat="0" applyBorder="0" applyAlignment="0" applyProtection="0"/>
    <xf numFmtId="0" fontId="1" fillId="7" borderId="0" applyNumberFormat="0" applyBorder="0" applyAlignment="0" applyProtection="0"/>
  </cellStyleXfs>
  <cellXfs count="29">
    <xf numFmtId="0" fontId="0" fillId="0" borderId="0" xfId="0"/>
    <xf numFmtId="0" fontId="5" fillId="0" borderId="0" xfId="0" applyFont="1"/>
    <xf numFmtId="0" fontId="0" fillId="3" borderId="0" xfId="0" applyFill="1"/>
    <xf numFmtId="0" fontId="0" fillId="0" borderId="0" xfId="0" applyAlignment="1">
      <alignment horizontal="center"/>
    </xf>
    <xf numFmtId="0" fontId="0" fillId="0" borderId="6" xfId="0" applyBorder="1"/>
    <xf numFmtId="0" fontId="6" fillId="2" borderId="2" xfId="1" applyFont="1" applyFill="1" applyBorder="1"/>
    <xf numFmtId="0" fontId="0" fillId="0" borderId="0" xfId="0" applyAlignment="1">
      <alignment horizontal="left"/>
    </xf>
    <xf numFmtId="0" fontId="2" fillId="4" borderId="0" xfId="2"/>
    <xf numFmtId="0" fontId="1" fillId="5" borderId="0" xfId="3"/>
    <xf numFmtId="0" fontId="0" fillId="0" borderId="0" xfId="0" applyFont="1"/>
    <xf numFmtId="0" fontId="0" fillId="0" borderId="7" xfId="0" applyBorder="1"/>
    <xf numFmtId="0" fontId="0" fillId="0" borderId="8" xfId="0" applyNumberFormat="1" applyBorder="1"/>
    <xf numFmtId="0" fontId="0" fillId="0" borderId="9" xfId="0" applyBorder="1"/>
    <xf numFmtId="0" fontId="0" fillId="0" borderId="10" xfId="0" applyNumberFormat="1" applyBorder="1"/>
    <xf numFmtId="0" fontId="0" fillId="0" borderId="11" xfId="0" applyBorder="1"/>
    <xf numFmtId="0" fontId="0" fillId="0" borderId="12" xfId="0" applyNumberFormat="1" applyBorder="1"/>
    <xf numFmtId="165" fontId="0" fillId="0" borderId="0" xfId="0" applyNumberFormat="1"/>
    <xf numFmtId="18" fontId="1" fillId="8" borderId="2" xfId="3" applyNumberFormat="1" applyFill="1" applyBorder="1" applyAlignment="1">
      <alignment horizontal="left" vertical="center"/>
    </xf>
    <xf numFmtId="0" fontId="1" fillId="8" borderId="2" xfId="3" applyFill="1" applyBorder="1" applyAlignment="1">
      <alignment vertical="center"/>
    </xf>
    <xf numFmtId="18" fontId="1" fillId="8" borderId="4" xfId="3" applyNumberFormat="1" applyFill="1" applyBorder="1" applyAlignment="1">
      <alignment horizontal="left" vertical="center"/>
    </xf>
    <xf numFmtId="0" fontId="1" fillId="8" borderId="4" xfId="3" applyFill="1" applyBorder="1" applyAlignment="1">
      <alignment vertical="center"/>
    </xf>
    <xf numFmtId="0" fontId="1" fillId="2" borderId="2" xfId="1" applyBorder="1"/>
    <xf numFmtId="0" fontId="2" fillId="6" borderId="0" xfId="4" applyBorder="1" applyAlignment="1">
      <alignment horizontal="center"/>
    </xf>
    <xf numFmtId="0" fontId="2" fillId="6" borderId="0" xfId="4"/>
    <xf numFmtId="164" fontId="2" fillId="6" borderId="0" xfId="4" applyNumberFormat="1"/>
    <xf numFmtId="0" fontId="1" fillId="7" borderId="1" xfId="5" applyBorder="1" applyAlignment="1">
      <alignment horizontal="center"/>
    </xf>
    <xf numFmtId="0" fontId="2" fillId="6" borderId="0" xfId="4" applyBorder="1" applyAlignment="1">
      <alignment horizontal="center"/>
    </xf>
    <xf numFmtId="0" fontId="2" fillId="6" borderId="5" xfId="4" applyBorder="1" applyAlignment="1">
      <alignment horizontal="center" vertical="center"/>
    </xf>
    <xf numFmtId="0" fontId="2" fillId="6" borderId="3" xfId="4" applyBorder="1" applyAlignment="1">
      <alignment horizontal="center" vertical="center"/>
    </xf>
  </cellXfs>
  <cellStyles count="6">
    <cellStyle name="20% - Accent1" xfId="1" builtinId="30"/>
    <cellStyle name="20% - Accent2" xfId="3" builtinId="34"/>
    <cellStyle name="60% - Accent5" xfId="5" builtinId="48"/>
    <cellStyle name="Accent1" xfId="4" builtinId="29"/>
    <cellStyle name="Accent2" xfId="2" builtinId="33"/>
    <cellStyle name="Normal" xfId="0" builtinId="0"/>
  </cellStyles>
  <dxfs count="30">
    <dxf>
      <numFmt numFmtId="165" formatCode="[$PKR]\ #,##0"/>
    </dxf>
    <dxf>
      <numFmt numFmtId="165" formatCode="[$PKR]\ #,##0"/>
    </dxf>
    <dxf>
      <border outline="0">
        <top style="thin">
          <color indexed="64"/>
        </top>
      </border>
    </dxf>
    <dxf>
      <border outline="0">
        <bottom style="thin">
          <color indexed="64"/>
        </bottom>
      </border>
    </dxf>
    <dxf>
      <alignment horizontal="center" vertical="bottom" textRotation="0" wrapText="0" indent="0" justifyLastLine="0" shrinkToFit="0" readingOrder="0"/>
    </dxf>
    <dxf>
      <numFmt numFmtId="0" formatCode="General"/>
      <border diagonalUp="0" diagonalDown="0">
        <left style="thin">
          <color rgb="FF999999"/>
        </left>
        <right style="thin">
          <color rgb="FF999999"/>
        </right>
        <top/>
        <bottom/>
        <vertical/>
        <horizontal/>
      </border>
    </dxf>
    <dxf>
      <fill>
        <patternFill patternType="solid">
          <fgColor indexed="64"/>
          <bgColor theme="4"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3" formatCode="h:mm\ AM/PM"/>
      <fill>
        <patternFill patternType="solid">
          <fgColor indexed="64"/>
          <bgColor theme="4"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3" formatCode="h:mm\ AM/PM"/>
      <fill>
        <patternFill patternType="solid">
          <fgColor indexed="64"/>
          <bgColor theme="4"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4" tint="0.79998168889431442"/>
        </patternFill>
      </fill>
    </dxf>
    <dxf>
      <border outline="0">
        <bottom style="thin">
          <color indexed="64"/>
        </bottom>
      </border>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border diagonalUp="0" diagonalDown="0" outline="0">
        <left style="thin">
          <color indexed="64"/>
        </left>
        <right style="thin">
          <color indexed="64"/>
        </right>
        <top/>
        <bottom/>
      </border>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Form Responses 1-style" pivot="0" count="4" xr9:uid="{330FA43A-25D5-4F33-B564-2A5662F19476}">
      <tableStyleElement type="wholeTable" size="0" dxfId="29"/>
      <tableStyleElement type="headerRow" dxfId="28"/>
      <tableStyleElement type="firstRowStripe" dxfId="27"/>
      <tableStyleElement type="secondRowStripe"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40" b="1" i="0" u="none" strike="noStrike" kern="1200" baseline="0">
                <a:solidFill>
                  <a:schemeClr val="tx2"/>
                </a:solidFill>
                <a:latin typeface="+mn-lt"/>
                <a:ea typeface="+mn-ea"/>
                <a:cs typeface="+mn-cs"/>
              </a:defRPr>
            </a:pPr>
            <a:r>
              <a:rPr lang="en-US"/>
              <a:t>Percentage of Agreed Peoples</a:t>
            </a:r>
          </a:p>
        </c:rich>
      </c:tx>
      <c:overlay val="0"/>
      <c:spPr>
        <a:noFill/>
        <a:ln>
          <a:noFill/>
        </a:ln>
        <a:effectLst/>
      </c:spPr>
      <c:txPr>
        <a:bodyPr rot="0" spcFirstLastPara="1" vertOverflow="ellipsis" vert="horz" wrap="square" anchor="ctr" anchorCtr="1"/>
        <a:lstStyle/>
        <a:p>
          <a:pPr>
            <a:defRPr sz="144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45B1-40C6-A002-9EA3DEBBA563}"/>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45B1-40C6-A002-9EA3DEBBA563}"/>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45B1-40C6-A002-9EA3DEBBA563}"/>
              </c:ext>
            </c:extLst>
          </c:dPt>
          <c:dLbls>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Timings!$E$1:$E$3</c:f>
              <c:strCache>
                <c:ptCount val="3"/>
                <c:pt idx="0">
                  <c:v>Result</c:v>
                </c:pt>
                <c:pt idx="1">
                  <c:v>Yes</c:v>
                </c:pt>
                <c:pt idx="2">
                  <c:v>No</c:v>
                </c:pt>
              </c:strCache>
            </c:strRef>
          </c:cat>
          <c:val>
            <c:numRef>
              <c:f>Timings!$F$1:$F$3</c:f>
              <c:numCache>
                <c:formatCode>General</c:formatCode>
                <c:ptCount val="3"/>
                <c:pt idx="1">
                  <c:v>21</c:v>
                </c:pt>
                <c:pt idx="2">
                  <c:v>22</c:v>
                </c:pt>
              </c:numCache>
            </c:numRef>
          </c:val>
          <c:extLst>
            <c:ext xmlns:c16="http://schemas.microsoft.com/office/drawing/2014/chart" uri="{C3380CC4-5D6E-409C-BE32-E72D297353CC}">
              <c16:uniqueId val="{00000000-5719-440D-964D-7F3C48A6F9F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60" b="1" i="0" u="none" strike="noStrike" kern="1200" baseline="0">
                <a:solidFill>
                  <a:schemeClr val="tx2"/>
                </a:solidFill>
                <a:latin typeface="+mn-lt"/>
                <a:ea typeface="+mn-ea"/>
                <a:cs typeface="+mn-cs"/>
              </a:defRPr>
            </a:pPr>
            <a:r>
              <a:rPr lang="en-US"/>
              <a:t>Rating For Food </a:t>
            </a:r>
          </a:p>
        </c:rich>
      </c:tx>
      <c:overlay val="0"/>
      <c:spPr>
        <a:noFill/>
        <a:ln>
          <a:noFill/>
        </a:ln>
        <a:effectLst/>
      </c:spPr>
      <c:txPr>
        <a:bodyPr rot="0" spcFirstLastPara="1" vertOverflow="ellipsis" vert="horz" wrap="square" anchor="ctr" anchorCtr="1"/>
        <a:lstStyle/>
        <a:p>
          <a:pPr>
            <a:defRPr sz="126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1-09E0-4C7C-9194-C2F29A59A326}"/>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09E0-4C7C-9194-C2F29A59A326}"/>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5-09E0-4C7C-9194-C2F29A59A326}"/>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7-09E0-4C7C-9194-C2F29A59A326}"/>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9-09E0-4C7C-9194-C2F29A59A326}"/>
              </c:ext>
            </c:extLst>
          </c:dPt>
          <c:dLbls>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Rating!$A$2:$A$6</c:f>
              <c:strCache>
                <c:ptCount val="5"/>
                <c:pt idx="0">
                  <c:v>Rate 1</c:v>
                </c:pt>
                <c:pt idx="1">
                  <c:v>Rate 2</c:v>
                </c:pt>
                <c:pt idx="2">
                  <c:v>Rate 3</c:v>
                </c:pt>
                <c:pt idx="3">
                  <c:v>Rate 4</c:v>
                </c:pt>
                <c:pt idx="4">
                  <c:v>Rate 5</c:v>
                </c:pt>
              </c:strCache>
            </c:strRef>
          </c:cat>
          <c:val>
            <c:numRef>
              <c:f>Rating!$B$2:$B$6</c:f>
              <c:numCache>
                <c:formatCode>General</c:formatCode>
                <c:ptCount val="5"/>
                <c:pt idx="0">
                  <c:v>4</c:v>
                </c:pt>
                <c:pt idx="1">
                  <c:v>10</c:v>
                </c:pt>
                <c:pt idx="2">
                  <c:v>17</c:v>
                </c:pt>
                <c:pt idx="3">
                  <c:v>8</c:v>
                </c:pt>
                <c:pt idx="4">
                  <c:v>4</c:v>
                </c:pt>
              </c:numCache>
            </c:numRef>
          </c:val>
          <c:extLst>
            <c:ext xmlns:c16="http://schemas.microsoft.com/office/drawing/2014/chart" uri="{C3380CC4-5D6E-409C-BE32-E72D297353CC}">
              <c16:uniqueId val="{00000000-8D24-4311-9841-DFCDC24662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Count of What is your rating for the current food situation in the mess</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of Food'!$A$2:$A$6</c:f>
              <c:strCache>
                <c:ptCount val="5"/>
                <c:pt idx="0">
                  <c:v>Bad</c:v>
                </c:pt>
                <c:pt idx="1">
                  <c:v>Good</c:v>
                </c:pt>
                <c:pt idx="2">
                  <c:v>Neutral</c:v>
                </c:pt>
                <c:pt idx="3">
                  <c:v>Very bad</c:v>
                </c:pt>
                <c:pt idx="4">
                  <c:v>Very good</c:v>
                </c:pt>
              </c:strCache>
            </c:strRef>
          </c:cat>
          <c:val>
            <c:numRef>
              <c:f>'Quality of Food'!$B$2:$B$6</c:f>
              <c:numCache>
                <c:formatCode>General</c:formatCode>
                <c:ptCount val="5"/>
                <c:pt idx="0">
                  <c:v>9</c:v>
                </c:pt>
                <c:pt idx="1">
                  <c:v>12</c:v>
                </c:pt>
                <c:pt idx="2">
                  <c:v>20</c:v>
                </c:pt>
                <c:pt idx="3">
                  <c:v>2</c:v>
                </c:pt>
                <c:pt idx="4">
                  <c:v>0</c:v>
                </c:pt>
              </c:numCache>
            </c:numRef>
          </c:val>
          <c:extLst>
            <c:ext xmlns:c16="http://schemas.microsoft.com/office/drawing/2014/chart" uri="{C3380CC4-5D6E-409C-BE32-E72D297353CC}">
              <c16:uniqueId val="{00000000-D96C-4F31-B439-A9CC1C938B19}"/>
            </c:ext>
          </c:extLst>
        </c:ser>
        <c:dLbls>
          <c:dLblPos val="inEnd"/>
          <c:showLegendKey val="0"/>
          <c:showVal val="1"/>
          <c:showCatName val="0"/>
          <c:showSerName val="0"/>
          <c:showPercent val="0"/>
          <c:showBubbleSize val="0"/>
        </c:dLbls>
        <c:gapWidth val="219"/>
        <c:overlap val="-27"/>
        <c:axId val="226005423"/>
        <c:axId val="226007343"/>
      </c:barChart>
      <c:catAx>
        <c:axId val="22600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26007343"/>
        <c:crosses val="autoZero"/>
        <c:auto val="1"/>
        <c:lblAlgn val="ctr"/>
        <c:lblOffset val="100"/>
        <c:noMultiLvlLbl val="0"/>
      </c:catAx>
      <c:valAx>
        <c:axId val="22600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2600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Hostels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tx>
            <c:strRef>
              <c:f>Hostels!$B$2</c:f>
              <c:strCache>
                <c:ptCount val="1"/>
                <c:pt idx="0">
                  <c:v>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Hostels!$A$3:$A$9</c:f>
              <c:strCache>
                <c:ptCount val="7"/>
                <c:pt idx="0">
                  <c:v>Iqbal hostel</c:v>
                </c:pt>
                <c:pt idx="1">
                  <c:v>Khadija hostel</c:v>
                </c:pt>
                <c:pt idx="2">
                  <c:v>Mumtaaz hostel</c:v>
                </c:pt>
                <c:pt idx="3">
                  <c:v>New girls hostel</c:v>
                </c:pt>
                <c:pt idx="4">
                  <c:v>Umer hostel </c:v>
                </c:pt>
                <c:pt idx="5">
                  <c:v>Zubair hostel </c:v>
                </c:pt>
                <c:pt idx="6">
                  <c:v>Abdul Sattar Eidi hostel</c:v>
                </c:pt>
              </c:strCache>
            </c:strRef>
          </c:cat>
          <c:val>
            <c:numRef>
              <c:f>Hostels!$B$3:$B$9</c:f>
              <c:numCache>
                <c:formatCode>General</c:formatCode>
                <c:ptCount val="7"/>
                <c:pt idx="0">
                  <c:v>1</c:v>
                </c:pt>
                <c:pt idx="1">
                  <c:v>1</c:v>
                </c:pt>
                <c:pt idx="2">
                  <c:v>12</c:v>
                </c:pt>
                <c:pt idx="3">
                  <c:v>20</c:v>
                </c:pt>
                <c:pt idx="4">
                  <c:v>5</c:v>
                </c:pt>
                <c:pt idx="5">
                  <c:v>3</c:v>
                </c:pt>
                <c:pt idx="6">
                  <c:v>1</c:v>
                </c:pt>
              </c:numCache>
            </c:numRef>
          </c:val>
          <c:extLst>
            <c:ext xmlns:c16="http://schemas.microsoft.com/office/drawing/2014/chart" uri="{C3380CC4-5D6E-409C-BE32-E72D297353CC}">
              <c16:uniqueId val="{00000000-28E3-4AE3-AAFA-2E4C3E9D3918}"/>
            </c:ext>
          </c:extLst>
        </c:ser>
        <c:dLbls>
          <c:dLblPos val="outEnd"/>
          <c:showLegendKey val="0"/>
          <c:showVal val="1"/>
          <c:showCatName val="0"/>
          <c:showSerName val="0"/>
          <c:showPercent val="0"/>
          <c:showBubbleSize val="0"/>
        </c:dLbls>
        <c:gapWidth val="100"/>
        <c:axId val="84104943"/>
        <c:axId val="225996783"/>
      </c:barChart>
      <c:catAx>
        <c:axId val="8410494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996783"/>
        <c:crosses val="autoZero"/>
        <c:auto val="1"/>
        <c:lblAlgn val="ctr"/>
        <c:lblOffset val="100"/>
        <c:noMultiLvlLbl val="0"/>
      </c:catAx>
      <c:valAx>
        <c:axId val="225996783"/>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1049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4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4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70BC-4964-A9E1-F11DD4F3D8AB}"/>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70BC-4964-A9E1-F11DD4F3D8AB}"/>
              </c:ext>
            </c:extLst>
          </c:dPt>
          <c:dLbls>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Gender!$A$2:$A$3</c:f>
              <c:strCache>
                <c:ptCount val="2"/>
                <c:pt idx="0">
                  <c:v>Female</c:v>
                </c:pt>
                <c:pt idx="1">
                  <c:v>Male</c:v>
                </c:pt>
              </c:strCache>
            </c:strRef>
          </c:cat>
          <c:val>
            <c:numRef>
              <c:f>Gender!$B$2:$B$3</c:f>
              <c:numCache>
                <c:formatCode>General</c:formatCode>
                <c:ptCount val="2"/>
                <c:pt idx="0">
                  <c:v>26</c:v>
                </c:pt>
                <c:pt idx="1">
                  <c:v>17</c:v>
                </c:pt>
              </c:numCache>
            </c:numRef>
          </c:val>
          <c:extLst>
            <c:ext xmlns:c16="http://schemas.microsoft.com/office/drawing/2014/chart" uri="{C3380CC4-5D6E-409C-BE32-E72D297353CC}">
              <c16:uniqueId val="{00000000-C5B1-48AD-80D0-B81E9C69246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40" b="1" i="0" u="none" strike="noStrike" kern="1200" baseline="0">
                <a:solidFill>
                  <a:schemeClr val="tx2"/>
                </a:solidFill>
                <a:latin typeface="+mn-lt"/>
                <a:ea typeface="+mn-ea"/>
                <a:cs typeface="+mn-cs"/>
              </a:defRPr>
            </a:pPr>
            <a:r>
              <a:rPr lang="en-US"/>
              <a:t>Availability of Meat</a:t>
            </a:r>
          </a:p>
        </c:rich>
      </c:tx>
      <c:layout>
        <c:manualLayout>
          <c:xMode val="edge"/>
          <c:yMode val="edge"/>
          <c:x val="0.22705816342481966"/>
          <c:y val="4.8854754669487091E-2"/>
        </c:manualLayout>
      </c:layout>
      <c:overlay val="0"/>
      <c:spPr>
        <a:noFill/>
        <a:ln>
          <a:noFill/>
        </a:ln>
        <a:effectLst/>
      </c:spPr>
      <c:txPr>
        <a:bodyPr rot="0" spcFirstLastPara="1" vertOverflow="ellipsis" vert="horz" wrap="square" anchor="ctr" anchorCtr="1"/>
        <a:lstStyle/>
        <a:p>
          <a:pPr>
            <a:defRPr sz="144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898E-4778-BB07-16C6FA078BE3}"/>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898E-4778-BB07-16C6FA078BE3}"/>
              </c:ext>
            </c:extLst>
          </c:dPt>
          <c:dLbls>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'Meat Situation'!$A$2:$A$3</c:f>
              <c:strCache>
                <c:ptCount val="2"/>
                <c:pt idx="0">
                  <c:v>No</c:v>
                </c:pt>
                <c:pt idx="1">
                  <c:v>Yes</c:v>
                </c:pt>
              </c:strCache>
            </c:strRef>
          </c:cat>
          <c:val>
            <c:numRef>
              <c:f>'Meat Situation'!$B$2:$B$3</c:f>
              <c:numCache>
                <c:formatCode>General</c:formatCode>
                <c:ptCount val="2"/>
                <c:pt idx="0">
                  <c:v>19</c:v>
                </c:pt>
                <c:pt idx="1">
                  <c:v>24</c:v>
                </c:pt>
              </c:numCache>
            </c:numRef>
          </c:val>
          <c:extLst>
            <c:ext xmlns:c16="http://schemas.microsoft.com/office/drawing/2014/chart" uri="{C3380CC4-5D6E-409C-BE32-E72D297353CC}">
              <c16:uniqueId val="{00000000-3D7A-4F81-8075-05DD9B6822C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320" b="1" i="0" u="none" strike="noStrike" kern="1200" baseline="0">
                <a:solidFill>
                  <a:schemeClr val="tx2"/>
                </a:solidFill>
                <a:latin typeface="+mn-lt"/>
                <a:ea typeface="+mn-ea"/>
                <a:cs typeface="+mn-cs"/>
              </a:defRPr>
            </a:pPr>
            <a:r>
              <a:rPr lang="en-US"/>
              <a:t>How much do they prefer cafe over mess</a:t>
            </a:r>
          </a:p>
        </c:rich>
      </c:tx>
      <c:layout>
        <c:manualLayout>
          <c:xMode val="edge"/>
          <c:yMode val="edge"/>
          <c:x val="0.14786078979471834"/>
          <c:y val="6.6109312529085501E-2"/>
        </c:manualLayout>
      </c:layout>
      <c:overlay val="0"/>
      <c:spPr>
        <a:noFill/>
        <a:ln>
          <a:noFill/>
        </a:ln>
        <a:effectLst/>
      </c:spPr>
      <c:txPr>
        <a:bodyPr rot="0" spcFirstLastPara="1" vertOverflow="ellipsis" vert="horz" wrap="square" anchor="ctr" anchorCtr="1"/>
        <a:lstStyle/>
        <a:p>
          <a:pPr>
            <a:defRPr sz="132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tx>
            <c:strRef>
              <c:f>'Eat from Hostel'!$B$1</c:f>
              <c:strCache>
                <c:ptCount val="1"/>
                <c:pt idx="0">
                  <c:v>Count</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1-6F7A-455D-8DC7-80F80973F91F}"/>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6F7A-455D-8DC7-80F80973F91F}"/>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5-6F7A-455D-8DC7-80F80973F91F}"/>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7-6F7A-455D-8DC7-80F80973F91F}"/>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9-62F7-4F1F-B272-61DEC9B198DA}"/>
              </c:ext>
            </c:extLst>
          </c:dPt>
          <c:dLbls>
            <c:spPr>
              <a:noFill/>
              <a:ln>
                <a:noFill/>
              </a:ln>
              <a:effectLst/>
            </c:spPr>
            <c:txPr>
              <a:bodyPr rot="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'Eat from Hostel'!$A$2:$A$6</c:f>
              <c:strCache>
                <c:ptCount val="5"/>
                <c:pt idx="0">
                  <c:v>Always</c:v>
                </c:pt>
                <c:pt idx="1">
                  <c:v>Occasionally</c:v>
                </c:pt>
                <c:pt idx="2">
                  <c:v>Often</c:v>
                </c:pt>
                <c:pt idx="3">
                  <c:v>Sometimes</c:v>
                </c:pt>
                <c:pt idx="4">
                  <c:v>Never</c:v>
                </c:pt>
              </c:strCache>
            </c:strRef>
          </c:cat>
          <c:val>
            <c:numRef>
              <c:f>'Eat from Hostel'!$B$2:$B$6</c:f>
              <c:numCache>
                <c:formatCode>General</c:formatCode>
                <c:ptCount val="5"/>
                <c:pt idx="0">
                  <c:v>6</c:v>
                </c:pt>
                <c:pt idx="1">
                  <c:v>1</c:v>
                </c:pt>
                <c:pt idx="2">
                  <c:v>20</c:v>
                </c:pt>
                <c:pt idx="3">
                  <c:v>16</c:v>
                </c:pt>
                <c:pt idx="4">
                  <c:v>0</c:v>
                </c:pt>
              </c:numCache>
            </c:numRef>
          </c:val>
          <c:extLst>
            <c:ext xmlns:c16="http://schemas.microsoft.com/office/drawing/2014/chart" uri="{C3380CC4-5D6E-409C-BE32-E72D297353CC}">
              <c16:uniqueId val="{00000000-CD7C-452F-9CFC-C14FBFFE5B6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BF68-4F8F-8213-0FF9166F3ED9}"/>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BF68-4F8F-8213-0FF9166F3ED9}"/>
              </c:ext>
            </c:extLst>
          </c:dPt>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'Food Quaility by Prices'!$A$2:$A$3</c:f>
              <c:strCache>
                <c:ptCount val="2"/>
                <c:pt idx="0">
                  <c:v>Yes</c:v>
                </c:pt>
                <c:pt idx="1">
                  <c:v>No</c:v>
                </c:pt>
              </c:strCache>
            </c:strRef>
          </c:cat>
          <c:val>
            <c:numRef>
              <c:f>'Food Quaility by Prices'!$B$2:$B$3</c:f>
              <c:numCache>
                <c:formatCode>General</c:formatCode>
                <c:ptCount val="2"/>
                <c:pt idx="0">
                  <c:v>19</c:v>
                </c:pt>
                <c:pt idx="1">
                  <c:v>24</c:v>
                </c:pt>
              </c:numCache>
            </c:numRef>
          </c:val>
          <c:extLst>
            <c:ext xmlns:c16="http://schemas.microsoft.com/office/drawing/2014/chart" uri="{C3380CC4-5D6E-409C-BE32-E72D297353CC}">
              <c16:uniqueId val="{00000000-75E3-4BDC-9CB4-3C7207F4EE8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154548</xdr:colOff>
      <xdr:row>6</xdr:row>
      <xdr:rowOff>150252</xdr:rowOff>
    </xdr:from>
    <xdr:to>
      <xdr:col>9</xdr:col>
      <xdr:colOff>9116</xdr:colOff>
      <xdr:row>21</xdr:row>
      <xdr:rowOff>35952</xdr:rowOff>
    </xdr:to>
    <xdr:graphicFrame macro="">
      <xdr:nvGraphicFramePr>
        <xdr:cNvPr id="2" name="Chart 1">
          <a:extLst>
            <a:ext uri="{FF2B5EF4-FFF2-40B4-BE49-F238E27FC236}">
              <a16:creationId xmlns:a16="http://schemas.microsoft.com/office/drawing/2014/main" id="{D45F0668-1B69-C8EF-8236-C986457E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317500</xdr:colOff>
      <xdr:row>3</xdr:row>
      <xdr:rowOff>14517</xdr:rowOff>
    </xdr:from>
    <xdr:to>
      <xdr:col>8</xdr:col>
      <xdr:colOff>476250</xdr:colOff>
      <xdr:row>18</xdr:row>
      <xdr:rowOff>9337</xdr:rowOff>
    </xdr:to>
    <xdr:graphicFrame macro="">
      <xdr:nvGraphicFramePr>
        <xdr:cNvPr id="2" name="Chart 1">
          <a:extLst>
            <a:ext uri="{FF2B5EF4-FFF2-40B4-BE49-F238E27FC236}">
              <a16:creationId xmlns:a16="http://schemas.microsoft.com/office/drawing/2014/main" id="{4E5E4C7A-F190-B73A-CBBF-361029791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95250</xdr:colOff>
      <xdr:row>9</xdr:row>
      <xdr:rowOff>66675</xdr:rowOff>
    </xdr:from>
    <xdr:to>
      <xdr:col>9</xdr:col>
      <xdr:colOff>95250</xdr:colOff>
      <xdr:row>32</xdr:row>
      <xdr:rowOff>76200</xdr:rowOff>
    </xdr:to>
    <xdr:graphicFrame macro="">
      <xdr:nvGraphicFramePr>
        <xdr:cNvPr id="2" name="Chart 1">
          <a:extLst>
            <a:ext uri="{FF2B5EF4-FFF2-40B4-BE49-F238E27FC236}">
              <a16:creationId xmlns:a16="http://schemas.microsoft.com/office/drawing/2014/main" id="{0B4C726D-0388-0367-5E16-C850ADF52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579782</xdr:colOff>
      <xdr:row>4</xdr:row>
      <xdr:rowOff>135835</xdr:rowOff>
    </xdr:from>
    <xdr:to>
      <xdr:col>10</xdr:col>
      <xdr:colOff>248478</xdr:colOff>
      <xdr:row>19</xdr:row>
      <xdr:rowOff>4970</xdr:rowOff>
    </xdr:to>
    <xdr:graphicFrame macro="">
      <xdr:nvGraphicFramePr>
        <xdr:cNvPr id="2" name="Chart 1">
          <a:extLst>
            <a:ext uri="{FF2B5EF4-FFF2-40B4-BE49-F238E27FC236}">
              <a16:creationId xmlns:a16="http://schemas.microsoft.com/office/drawing/2014/main" id="{B41D2AD6-613B-1D3E-6721-CF1F70B73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221941</xdr:colOff>
      <xdr:row>1</xdr:row>
      <xdr:rowOff>14316</xdr:rowOff>
    </xdr:from>
    <xdr:to>
      <xdr:col>7</xdr:col>
      <xdr:colOff>92475</xdr:colOff>
      <xdr:row>15</xdr:row>
      <xdr:rowOff>18496</xdr:rowOff>
    </xdr:to>
    <xdr:graphicFrame macro="">
      <xdr:nvGraphicFramePr>
        <xdr:cNvPr id="3" name="Chart 2">
          <a:extLst>
            <a:ext uri="{FF2B5EF4-FFF2-40B4-BE49-F238E27FC236}">
              <a16:creationId xmlns:a16="http://schemas.microsoft.com/office/drawing/2014/main" id="{7500F63A-47CE-AE04-9EB1-CA201FCA6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150394</xdr:colOff>
      <xdr:row>7</xdr:row>
      <xdr:rowOff>110768</xdr:rowOff>
    </xdr:from>
    <xdr:to>
      <xdr:col>7</xdr:col>
      <xdr:colOff>576514</xdr:colOff>
      <xdr:row>24</xdr:row>
      <xdr:rowOff>108619</xdr:rowOff>
    </xdr:to>
    <xdr:graphicFrame macro="">
      <xdr:nvGraphicFramePr>
        <xdr:cNvPr id="3" name="Chart 2">
          <a:extLst>
            <a:ext uri="{FF2B5EF4-FFF2-40B4-BE49-F238E27FC236}">
              <a16:creationId xmlns:a16="http://schemas.microsoft.com/office/drawing/2014/main" id="{61549878-EC85-49A2-02DB-38071E2D8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21648</xdr:colOff>
      <xdr:row>5</xdr:row>
      <xdr:rowOff>126457</xdr:rowOff>
    </xdr:from>
    <xdr:to>
      <xdr:col>10</xdr:col>
      <xdr:colOff>158751</xdr:colOff>
      <xdr:row>21</xdr:row>
      <xdr:rowOff>6229</xdr:rowOff>
    </xdr:to>
    <xdr:graphicFrame macro="">
      <xdr:nvGraphicFramePr>
        <xdr:cNvPr id="3" name="Chart 2">
          <a:extLst>
            <a:ext uri="{FF2B5EF4-FFF2-40B4-BE49-F238E27FC236}">
              <a16:creationId xmlns:a16="http://schemas.microsoft.com/office/drawing/2014/main" id="{3B10EDE2-0C6D-859D-22D9-C4D2C8F5C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123824</xdr:colOff>
      <xdr:row>5</xdr:row>
      <xdr:rowOff>171450</xdr:rowOff>
    </xdr:from>
    <xdr:to>
      <xdr:col>7</xdr:col>
      <xdr:colOff>595311</xdr:colOff>
      <xdr:row>22</xdr:row>
      <xdr:rowOff>171450</xdr:rowOff>
    </xdr:to>
    <xdr:graphicFrame macro="">
      <xdr:nvGraphicFramePr>
        <xdr:cNvPr id="3" name="Chart 2">
          <a:extLst>
            <a:ext uri="{FF2B5EF4-FFF2-40B4-BE49-F238E27FC236}">
              <a16:creationId xmlns:a16="http://schemas.microsoft.com/office/drawing/2014/main" id="{34D48D17-AFD4-8576-2974-D4BE7DD34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4262A2-E589-4DD7-B8FD-6B45BB42592F}" name="Form_Responses" displayName="Form_Responses" ref="A1:J44" headerRowDxfId="25" dataDxfId="24" totalsRowDxfId="23" totalsRowCellStyle="20% - Accent2">
  <sortState xmlns:xlrd2="http://schemas.microsoft.com/office/spreadsheetml/2017/richdata2" ref="A2:J44">
    <sortCondition ref="A2:A44"/>
  </sortState>
  <tableColumns count="10">
    <tableColumn id="2" xr3:uid="{1286D062-06C8-47C3-8B73-12F9D3E2C95B}" name="What is your name" dataDxfId="22"/>
    <tableColumn id="3" xr3:uid="{0D93A614-5EB9-4F51-B387-FC097F84E417}" name="What is your registration number" dataDxfId="21"/>
    <tableColumn id="4" xr3:uid="{88D2F7F4-04A9-4B71-83FD-AD66B46C4176}" name="What is your hostel Name" dataDxfId="20"/>
    <tableColumn id="5" xr3:uid="{636C6210-E73F-4D22-BD19-2BB46148DEAA}" name="Gender" dataDxfId="19"/>
    <tableColumn id="7" xr3:uid="{3D22B292-FAE3-46D9-9D83-E2E296734CA5}" name="What city are you originally from? " dataDxfId="18"/>
    <tableColumn id="8" xr3:uid="{097E7CEA-2DAB-4547-973A-D3FBB44C0957}" name="What was your recent monthly bill of the mess?" dataDxfId="17"/>
    <tableColumn id="22" xr3:uid="{D587C5C3-78FE-4341-8788-78D18683C2B3}" name="What is your rating for the current food situation in the mess" dataDxfId="16"/>
    <tableColumn id="1" xr3:uid="{EDD36C0E-4D18-41D9-8C35-426241D96A85}" name="Timestamp" dataDxfId="15"/>
    <tableColumn id="6" xr3:uid="{FA6E8C9D-7512-46E2-B6F5-CD2F3FF6D0E7}" name="Any proof that you're a student of UET (Offer Letter / Registration Slip) [Max Size : 10MB]" dataDxfId="14"/>
    <tableColumn id="23" xr3:uid="{A1658324-A9A5-4C5A-AD76-BE7DB9664AD3}" name="What are your suggestions for the mess situation?" dataDxfId="13"/>
  </tableColumns>
  <tableStyleInfo name="TableStyleMedium2"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6193EF-AED8-4530-BB39-F12F5D014590}" name="Table1" displayName="Table1" ref="A1:O44" totalsRowShown="0">
  <autoFilter ref="A1:O44" xr:uid="{A36193EF-AED8-4530-BB39-F12F5D014590}"/>
  <tableColumns count="15">
    <tableColumn id="1" xr3:uid="{8D98507A-57FD-4863-9F0A-AE109CBD3DF0}" name="Names"/>
    <tableColumn id="2" xr3:uid="{B415B7E8-EF84-4EEB-A40C-BE81EEEF6FC9}" name="Registration Number"/>
    <tableColumn id="3" xr3:uid="{9A493F47-C8E6-47A7-8BAC-1D5B2E3C6434}" name="Hall Name"/>
    <tableColumn id="4" xr3:uid="{1D8F63CD-F96F-4CC9-AD1E-CA469835440D}" name="Gender"/>
    <tableColumn id="5" xr3:uid="{46E01D2E-5B7D-4442-8E35-08A84E516373}" name="City"/>
    <tableColumn id="6" xr3:uid="{7E8F61B8-9FC1-4A63-993D-642E443FE909}" name="Mess Bill"/>
    <tableColumn id="7" xr3:uid="{48B9E618-D44B-4797-8DDE-8C107080C3F8}" name="Payable Bill"/>
    <tableColumn id="8" xr3:uid="{A9F13304-7188-4F1D-8326-4D93A5C0C6C2}" name="Prices are Good"/>
    <tableColumn id="9" xr3:uid="{0ADCB3E2-FEB7-4A90-9525-5CAE498CF9BE}" name="Rating Out of 5"/>
    <tableColumn id="10" xr3:uid="{3DD45CF0-0906-4F05-ABC8-8D3D04A9F557}" name="Meat is a part"/>
    <tableColumn id="11" xr3:uid="{A69694F2-B9EA-4023-AC58-BE76E83B13B6}" name="Food is safe for Health"/>
    <tableColumn id="12" xr3:uid="{3C432F6A-0AFC-4A27-B9E4-5C3A164C5959}" name="Cafe is Better than Mess"/>
    <tableColumn id="13" xr3:uid="{140ABA65-CE50-4422-A1A7-92FED360B470}" name="Eat From Hostal"/>
    <tableColumn id="14" xr3:uid="{6D073839-2475-4722-8886-A1CDCE72C203}" name="Do you think the Cafe food is better than Mess"/>
    <tableColumn id="15" xr3:uid="{8DD41959-9A27-49A9-8DC9-23277F96BF99}" name="Quality of Foo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B9C5FC-9801-4449-9A82-750B47031665}" name="Table3" displayName="Table3" ref="A1:C44" totalsRowShown="0" dataDxfId="11" headerRowBorderDxfId="12" tableBorderDxfId="10" totalsRowBorderDxfId="9" dataCellStyle="20% - Accent2">
  <autoFilter ref="A1:C44" xr:uid="{52B9C5FC-9801-4449-9A82-750B47031665}"/>
  <tableColumns count="3">
    <tableColumn id="1" xr3:uid="{CE148BC1-76CB-4DC3-92B0-EFFE51F679AC}" name="Morning" dataDxfId="8" dataCellStyle="20% - Accent2"/>
    <tableColumn id="2" xr3:uid="{CD0DF36A-2820-482D-BF86-B2714648D201}" name="Evening" dataDxfId="7" dataCellStyle="20% - Accent2"/>
    <tableColumn id="3" xr3:uid="{3E0A53AF-720F-48DB-BEE8-B6ADCBDE4050}" name="Agree with" dataDxfId="6" dataCellStyle="20% - Accent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19415CE-B373-4FE8-BFF5-1C1BE296FB6E}" name="Table6" displayName="Table6" ref="A1:B6" totalsRowShown="0">
  <autoFilter ref="A1:B6" xr:uid="{D19415CE-B373-4FE8-BFF5-1C1BE296FB6E}"/>
  <tableColumns count="2">
    <tableColumn id="1" xr3:uid="{14E47EEB-C3BB-4FB3-8849-57C7B9C148C7}" name="Rating Out of 5"/>
    <tableColumn id="2" xr3:uid="{B484B4CD-8FA0-4E75-9257-07D0FF055ACC}" name="Column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7FEEBD-048E-4765-A460-C4AA5031FAF3}" name="Table4" displayName="Table4" ref="A1:B44" totalsRowShown="0">
  <autoFilter ref="A1:B44" xr:uid="{AA7FEEBD-048E-4765-A460-C4AA5031FAF3}"/>
  <tableColumns count="2">
    <tableColumn id="1" xr3:uid="{719F3F05-01F6-40A8-BBBB-38675526984C}" name="Name"/>
    <tableColumn id="2" xr3:uid="{88530429-D4EB-4BF3-9743-53870AE2EE23}" name="Comment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8689FC9-C4AA-4CA9-8035-8E36F7E0CDBA}" name="Table10" displayName="Table10" ref="A1:B6" totalsRowShown="0">
  <autoFilter ref="A1:B6" xr:uid="{78689FC9-C4AA-4CA9-8035-8E36F7E0CDBA}"/>
  <tableColumns count="2">
    <tableColumn id="1" xr3:uid="{0E3A8D9C-28E0-4EF0-8C07-2C526A5B167E}" name="Reviews For Food"/>
    <tableColumn id="2" xr3:uid="{A549F6DD-2ED9-400C-90AB-91B2B9FF99F3}" name="Count" dataDxfId="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D31FBAE-F66F-4F58-A887-C49AB35D3B05}" name="Table7" displayName="Table7" ref="A2:B9" totalsRowShown="0">
  <autoFilter ref="A2:B9" xr:uid="{AD31FBAE-F66F-4F58-A887-C49AB35D3B05}"/>
  <tableColumns count="2">
    <tableColumn id="1" xr3:uid="{699B76AF-69CE-4633-8473-4FB5C403B194}" name="Hostal Name"/>
    <tableColumn id="2" xr3:uid="{E45AF162-2D0C-4B75-A728-A16278BB4F8A}" name="Coun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368D3AE-C547-4761-B687-8AE69190200A}" name="Table11" displayName="Table11" ref="A1:B4" totalsRowShown="0" headerRowDxfId="4" tableBorderDxfId="3" headerRowCellStyle="Accent1">
  <autoFilter ref="A1:B4" xr:uid="{C368D3AE-C547-4761-B687-8AE69190200A}"/>
  <tableColumns count="2">
    <tableColumn id="1" xr3:uid="{B67479DA-C525-4095-B620-A4CAC2C22CE6}" name="Gender"/>
    <tableColumn id="2" xr3:uid="{A0FBB446-92ED-4365-9FA1-3CB811DCD0E0}" name="Coun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8AF917B-BE6E-4FB1-A6E1-B28F856F9DA1}" name="Table13" displayName="Table13" ref="A1:B4" totalsRowShown="0">
  <autoFilter ref="A1:B4" xr:uid="{C8AF917B-BE6E-4FB1-A6E1-B28F856F9DA1}"/>
  <tableColumns count="2">
    <tableColumn id="1" xr3:uid="{82C2131E-BA44-4BCA-BC68-14A551A6C302}" name="Meat Available or not"/>
    <tableColumn id="2" xr3:uid="{C50B0CAD-E5F2-43BD-8FD9-10C19D4E5400}" name="Cou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B8C7C0E-FBF9-47BD-B232-10A4429AB88D}" name="Table14" displayName="Table14" ref="A1:B7" totalsRowShown="0">
  <autoFilter ref="A1:B7" xr:uid="{8B8C7C0E-FBF9-47BD-B232-10A4429AB88D}"/>
  <tableColumns count="2">
    <tableColumn id="1" xr3:uid="{152CEA5B-2B7A-4888-9417-9B287DD34A32}" name="Eat From Hostel"/>
    <tableColumn id="2" xr3:uid="{3D476753-BFC6-461F-847B-A82F8722C974}" name="Coun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6592869-B05D-4FE2-A4E5-48890512FB01}" name="Table15" displayName="Table15" ref="A1:B4" totalsRowShown="0">
  <autoFilter ref="A1:B4" xr:uid="{66592869-B05D-4FE2-A4E5-48890512FB01}"/>
  <tableColumns count="2">
    <tableColumn id="1" xr3:uid="{8C150592-8033-4341-9BE0-72A2F3528CA1}" name="Meat is Available or not"/>
    <tableColumn id="2" xr3:uid="{A31E6B43-5422-4B10-B178-2B6AA282A5B1}" name="Count"/>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F86AB1D-DD44-4432-9E0C-BC027D5667EB}" name="Table8" displayName="Table8" ref="A2:B45" totalsRowShown="0" tableBorderDxfId="2">
  <autoFilter ref="A2:B45" xr:uid="{9F86AB1D-DD44-4432-9E0C-BC027D5667EB}"/>
  <tableColumns count="2">
    <tableColumn id="1" xr3:uid="{1E8662F1-6B5E-4CE4-A5A2-77DC9BD383D1}" name="Name "/>
    <tableColumn id="2" xr3:uid="{302CEF5E-043A-42E1-9599-FBA5C0D2E635}" name="Bill" dataDxfId="1"/>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EDD1AAE-A99F-481D-8F31-084203F53B9B}" name="Table16" displayName="Table16" ref="D8:E11" totalsRowShown="0" headerRowCellStyle="Accent1">
  <autoFilter ref="D8:E11" xr:uid="{8EDD1AAE-A99F-481D-8F31-084203F53B9B}"/>
  <tableColumns count="2">
    <tableColumn id="1" xr3:uid="{C94E2EF2-30F9-461A-AD28-A2EB8CDEADC3}" name="Field"/>
    <tableColumn id="2" xr3:uid="{06A1379F-201E-469F-9069-64D9127BF663}" name="Val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open?id=11nYe2ZCW9lFuppBacTqPeOFvLY3HsEIf" TargetMode="External"/><Relationship Id="rId18" Type="http://schemas.openxmlformats.org/officeDocument/2006/relationships/hyperlink" Target="https://drive.google.com/open?id=1ZMFxzXunpQLLhq4gqifaVFJOhc4_kjiM" TargetMode="External"/><Relationship Id="rId26" Type="http://schemas.openxmlformats.org/officeDocument/2006/relationships/hyperlink" Target="https://drive.google.com/open?id=16OwUni-C2vZWJBX6DOd8Iz_6bmbOQk5c" TargetMode="External"/><Relationship Id="rId39" Type="http://schemas.openxmlformats.org/officeDocument/2006/relationships/hyperlink" Target="https://drive.google.com/open?id=1asKzngokQxEQ1hkIAAsec8Nw7vOxSMqA" TargetMode="External"/><Relationship Id="rId21" Type="http://schemas.openxmlformats.org/officeDocument/2006/relationships/hyperlink" Target="https://drive.google.com/open?id=15_PArCdXBGXgONNQ8OLjDR3Dhs9n307k" TargetMode="External"/><Relationship Id="rId34" Type="http://schemas.openxmlformats.org/officeDocument/2006/relationships/hyperlink" Target="https://drive.google.com/open?id=1UW-TaitXAmSNrCTlLx8valaShIyFac99" TargetMode="External"/><Relationship Id="rId42" Type="http://schemas.openxmlformats.org/officeDocument/2006/relationships/hyperlink" Target="https://drive.google.com/open?id=17ooarifT4xeT4p8xCAEjyXKr6nzywaE1" TargetMode="External"/><Relationship Id="rId7" Type="http://schemas.openxmlformats.org/officeDocument/2006/relationships/hyperlink" Target="https://drive.google.com/open?id=1ruQPLo9DL2ZYW0fKMJSSMUq5naCOUA86" TargetMode="External"/><Relationship Id="rId2" Type="http://schemas.openxmlformats.org/officeDocument/2006/relationships/hyperlink" Target="https://drive.google.com/open?id=18VtidAaXOv3qpBnCEnba4uDgdqEzD6SA" TargetMode="External"/><Relationship Id="rId16" Type="http://schemas.openxmlformats.org/officeDocument/2006/relationships/hyperlink" Target="https://drive.google.com/open?id=1_NakvdKu2U7poPHEqNw3x06_yiQlW9rc" TargetMode="External"/><Relationship Id="rId29" Type="http://schemas.openxmlformats.org/officeDocument/2006/relationships/hyperlink" Target="https://drive.google.com/open?id=1lJL5kMmqkYne8jjySv5F1QOs1HR5oC63" TargetMode="External"/><Relationship Id="rId1" Type="http://schemas.openxmlformats.org/officeDocument/2006/relationships/hyperlink" Target="https://drive.google.com/open?id=1qzSzpYwgR0axu_LF3xBZPwXM5X1Zyjsc" TargetMode="External"/><Relationship Id="rId6" Type="http://schemas.openxmlformats.org/officeDocument/2006/relationships/hyperlink" Target="https://drive.google.com/open?id=1vLqhdEkhYPeHkweuS0SRWpiFEgV1Mers" TargetMode="External"/><Relationship Id="rId11" Type="http://schemas.openxmlformats.org/officeDocument/2006/relationships/hyperlink" Target="https://drive.google.com/open?id=1IAxGMngT1urvIkGj4f4Zhst4LFFUqWsH" TargetMode="External"/><Relationship Id="rId24" Type="http://schemas.openxmlformats.org/officeDocument/2006/relationships/hyperlink" Target="https://drive.google.com/open?id=17SRAfDUcDrj4PALsleuTelzaXHcqt_QD" TargetMode="External"/><Relationship Id="rId32" Type="http://schemas.openxmlformats.org/officeDocument/2006/relationships/hyperlink" Target="https://drive.google.com/open?id=1O4YdqjTas7-CmBCszRWVUsV4B4IOJAFp" TargetMode="External"/><Relationship Id="rId37" Type="http://schemas.openxmlformats.org/officeDocument/2006/relationships/hyperlink" Target="https://drive.google.com/open?id=1ymazR7lGyNB1eskNmjG8HZtFtGweEMV4" TargetMode="External"/><Relationship Id="rId40" Type="http://schemas.openxmlformats.org/officeDocument/2006/relationships/hyperlink" Target="https://drive.google.com/open?id=17jtRkT6lNEx0z7Pd4BGiDLxyLKvQD3Ox" TargetMode="External"/><Relationship Id="rId45" Type="http://schemas.openxmlformats.org/officeDocument/2006/relationships/table" Target="../tables/table1.xml"/><Relationship Id="rId5" Type="http://schemas.openxmlformats.org/officeDocument/2006/relationships/hyperlink" Target="https://drive.google.com/open?id=1XhePdvpg-vgwtxEz52yurCsVwXhyOw5V" TargetMode="External"/><Relationship Id="rId15" Type="http://schemas.openxmlformats.org/officeDocument/2006/relationships/hyperlink" Target="https://drive.google.com/open?id=1oS4fQGDIu901FDehNbY_vGPBeBviQmOX" TargetMode="External"/><Relationship Id="rId23" Type="http://schemas.openxmlformats.org/officeDocument/2006/relationships/hyperlink" Target="https://drive.google.com/open?id=1PEoXBvcl2V8zkf1fv4qCHRowl5Jk8Fbq" TargetMode="External"/><Relationship Id="rId28" Type="http://schemas.openxmlformats.org/officeDocument/2006/relationships/hyperlink" Target="https://drive.google.com/open?id=1INZKwLprdvh3sqBxq8wAFjUL7NQ7cPr_" TargetMode="External"/><Relationship Id="rId36" Type="http://schemas.openxmlformats.org/officeDocument/2006/relationships/hyperlink" Target="https://drive.google.com/open?id=1cpsEa-FNYjreK6APY30VAF8rElHWZLxI" TargetMode="External"/><Relationship Id="rId10" Type="http://schemas.openxmlformats.org/officeDocument/2006/relationships/hyperlink" Target="https://drive.google.com/open?id=1nQBbDklmhTpbhrJg2le6F8DzGee6AS6v" TargetMode="External"/><Relationship Id="rId19" Type="http://schemas.openxmlformats.org/officeDocument/2006/relationships/hyperlink" Target="https://drive.google.com/open?id=1xS3z639ltQP3qUpZnCs1FnYRic9o8YAi" TargetMode="External"/><Relationship Id="rId31" Type="http://schemas.openxmlformats.org/officeDocument/2006/relationships/hyperlink" Target="https://drive.google.com/open?id=1kKATqcDuut3gvmoi3aJ3JQbrahllyDvG" TargetMode="External"/><Relationship Id="rId44" Type="http://schemas.openxmlformats.org/officeDocument/2006/relationships/vmlDrawing" Target="../drawings/vmlDrawing1.vml"/><Relationship Id="rId4" Type="http://schemas.openxmlformats.org/officeDocument/2006/relationships/hyperlink" Target="https://drive.google.com/open?id=1A1SWX0Df8I_JnCzQvp-Hm0EVoZyhZuSq" TargetMode="External"/><Relationship Id="rId9" Type="http://schemas.openxmlformats.org/officeDocument/2006/relationships/hyperlink" Target="https://drive.google.com/open?id=1lTCyZei5-GdNAex8LzDlwBXC-b9nBRNZ" TargetMode="External"/><Relationship Id="rId14" Type="http://schemas.openxmlformats.org/officeDocument/2006/relationships/hyperlink" Target="https://drive.google.com/open?id=1NcmC8ISNDU2yI9JqZM-RtStjjt5AxOZP" TargetMode="External"/><Relationship Id="rId22" Type="http://schemas.openxmlformats.org/officeDocument/2006/relationships/hyperlink" Target="https://drive.google.com/open?id=10vWeRxsR0l4r0wiwR5ES_JdMQ51U4sFo" TargetMode="External"/><Relationship Id="rId27" Type="http://schemas.openxmlformats.org/officeDocument/2006/relationships/hyperlink" Target="https://drive.google.com/open?id=16XakUsFJsyp2xkyUlbGC98stqNZ7nyyI" TargetMode="External"/><Relationship Id="rId30" Type="http://schemas.openxmlformats.org/officeDocument/2006/relationships/hyperlink" Target="https://drive.google.com/open?id=1dXja-DKS4uwuz0aHB8TaucAXIoIyjqNc" TargetMode="External"/><Relationship Id="rId35" Type="http://schemas.openxmlformats.org/officeDocument/2006/relationships/hyperlink" Target="https://drive.google.com/open?id=1XOw4I5JWY7x-kTPJrAYuHLQ1_981o7Zv" TargetMode="External"/><Relationship Id="rId43" Type="http://schemas.openxmlformats.org/officeDocument/2006/relationships/hyperlink" Target="https://drive.google.com/open?id=1yKX8ARkTIoxDblxZf0Eox8pJMs9WmQZY" TargetMode="External"/><Relationship Id="rId8" Type="http://schemas.openxmlformats.org/officeDocument/2006/relationships/hyperlink" Target="https://drive.google.com/open?id=13rXVe1jd452kTgwxbwymTta81MPn9Hlu" TargetMode="External"/><Relationship Id="rId3" Type="http://schemas.openxmlformats.org/officeDocument/2006/relationships/hyperlink" Target="https://drive.google.com/open?id=1ilg6zqPgloSlp0jjZECG4NHsCxYIDm3O" TargetMode="External"/><Relationship Id="rId12" Type="http://schemas.openxmlformats.org/officeDocument/2006/relationships/hyperlink" Target="https://drive.google.com/open?id=16dATyCKZdzNSYnVLvl1CVlMwoo9juLYz" TargetMode="External"/><Relationship Id="rId17" Type="http://schemas.openxmlformats.org/officeDocument/2006/relationships/hyperlink" Target="https://drive.google.com/open?id=1FZI8dT-pPmklihbZoitUIY9TmbTom4rP" TargetMode="External"/><Relationship Id="rId25" Type="http://schemas.openxmlformats.org/officeDocument/2006/relationships/hyperlink" Target="https://drive.google.com/open?id=1YpHLDY4QMDEj3peV9Imd5femEjx7f0Pv" TargetMode="External"/><Relationship Id="rId33" Type="http://schemas.openxmlformats.org/officeDocument/2006/relationships/hyperlink" Target="https://drive.google.com/open?id=1ym_Ucr5a7zP9RhwGxUYU-1SxVfgF0MLC" TargetMode="External"/><Relationship Id="rId38" Type="http://schemas.openxmlformats.org/officeDocument/2006/relationships/hyperlink" Target="https://drive.google.com/open?id=1OmBo4CaMchD0OFwgLzZOCVGIPDpTSk8I" TargetMode="External"/><Relationship Id="rId46" Type="http://schemas.openxmlformats.org/officeDocument/2006/relationships/comments" Target="../comments1.xml"/><Relationship Id="rId20" Type="http://schemas.openxmlformats.org/officeDocument/2006/relationships/hyperlink" Target="https://drive.google.com/open?id=18Mi_VxFodPBkcXTKPoqRkd4F5pF7T6jJ" TargetMode="External"/><Relationship Id="rId41" Type="http://schemas.openxmlformats.org/officeDocument/2006/relationships/hyperlink" Target="https://drive.google.com/open?id=1-IhIG-FKn17-0mGdplj1DiFPxrgvuCv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5.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E9429-EA05-48A9-A13B-489E5B4A915B}">
  <dimension ref="A1:U44"/>
  <sheetViews>
    <sheetView tabSelected="1" zoomScale="85" zoomScaleNormal="85" workbookViewId="0">
      <selection activeCell="J58" sqref="J58"/>
    </sheetView>
  </sheetViews>
  <sheetFormatPr defaultRowHeight="15" x14ac:dyDescent="0.25"/>
  <cols>
    <col min="1" max="1" width="31.5703125" style="3" customWidth="1"/>
    <col min="2" max="2" width="30" customWidth="1"/>
    <col min="3" max="3" width="28.85546875" customWidth="1"/>
    <col min="4" max="4" width="30" customWidth="1"/>
    <col min="5" max="5" width="25.7109375" customWidth="1"/>
    <col min="6" max="6" width="36.140625" customWidth="1"/>
    <col min="7" max="7" width="41" customWidth="1"/>
    <col min="8" max="8" width="40.85546875" customWidth="1"/>
    <col min="9" max="9" width="62.85546875" customWidth="1"/>
    <col min="10" max="10" width="255.7109375" bestFit="1" customWidth="1"/>
    <col min="11" max="11" width="32.85546875" bestFit="1" customWidth="1"/>
    <col min="12" max="12" width="46.85546875" bestFit="1" customWidth="1"/>
    <col min="13" max="13" width="45.85546875" bestFit="1" customWidth="1"/>
    <col min="14" max="14" width="36.42578125" bestFit="1" customWidth="1"/>
    <col min="15" max="16" width="80.85546875" bestFit="1" customWidth="1"/>
    <col min="17" max="17" width="52.42578125" bestFit="1" customWidth="1"/>
    <col min="19" max="19" width="225.28515625" customWidth="1"/>
    <col min="20" max="20" width="28.140625" customWidth="1"/>
    <col min="21" max="21" width="18.85546875" bestFit="1" customWidth="1"/>
    <col min="22" max="22" width="106.28515625" customWidth="1"/>
    <col min="23" max="23" width="255.5703125" customWidth="1"/>
  </cols>
  <sheetData>
    <row r="1" spans="1:21" s="7" customFormat="1" x14ac:dyDescent="0.25">
      <c r="A1" s="9" t="s">
        <v>248</v>
      </c>
      <c r="B1" s="9" t="s">
        <v>249</v>
      </c>
      <c r="C1" s="9" t="s">
        <v>250</v>
      </c>
      <c r="D1" s="9" t="s">
        <v>232</v>
      </c>
      <c r="E1" s="9" t="s">
        <v>252</v>
      </c>
      <c r="F1" s="9" t="s">
        <v>253</v>
      </c>
      <c r="G1" s="9" t="s">
        <v>254</v>
      </c>
      <c r="H1" s="9" t="s">
        <v>247</v>
      </c>
      <c r="I1" s="9" t="s">
        <v>251</v>
      </c>
      <c r="J1" s="9" t="s">
        <v>255</v>
      </c>
      <c r="K1"/>
      <c r="L1"/>
      <c r="M1"/>
      <c r="N1"/>
      <c r="O1"/>
      <c r="P1"/>
      <c r="Q1"/>
      <c r="R1"/>
      <c r="S1"/>
      <c r="T1"/>
      <c r="U1"/>
    </row>
    <row r="2" spans="1:21" x14ac:dyDescent="0.25">
      <c r="A2" s="9" t="s">
        <v>270</v>
      </c>
      <c r="B2" s="9" t="s">
        <v>152</v>
      </c>
      <c r="C2" s="9" t="s">
        <v>153</v>
      </c>
      <c r="D2" s="9" t="s">
        <v>3</v>
      </c>
      <c r="E2" s="9" t="s">
        <v>155</v>
      </c>
      <c r="F2" s="9">
        <v>4000</v>
      </c>
      <c r="G2" s="9" t="s">
        <v>37</v>
      </c>
      <c r="H2" s="9">
        <v>45975.985557638887</v>
      </c>
      <c r="I2" s="9" t="s">
        <v>154</v>
      </c>
      <c r="J2" s="9" t="s">
        <v>156</v>
      </c>
    </row>
    <row r="3" spans="1:21" x14ac:dyDescent="0.25">
      <c r="A3" s="9" t="s">
        <v>101</v>
      </c>
      <c r="B3" s="9" t="s">
        <v>102</v>
      </c>
      <c r="C3" s="9" t="s">
        <v>22</v>
      </c>
      <c r="D3" s="9" t="s">
        <v>14</v>
      </c>
      <c r="E3" s="9" t="s">
        <v>104</v>
      </c>
      <c r="F3" s="9">
        <v>3410</v>
      </c>
      <c r="G3" s="9" t="s">
        <v>18</v>
      </c>
      <c r="H3" s="9">
        <v>46001.985557638887</v>
      </c>
      <c r="I3" s="9" t="s">
        <v>103</v>
      </c>
      <c r="J3" s="9" t="s">
        <v>105</v>
      </c>
    </row>
    <row r="4" spans="1:21" x14ac:dyDescent="0.25">
      <c r="A4" s="9" t="s">
        <v>188</v>
      </c>
      <c r="B4" s="9" t="s">
        <v>189</v>
      </c>
      <c r="C4" s="9" t="s">
        <v>34</v>
      </c>
      <c r="D4" s="9" t="s">
        <v>3</v>
      </c>
      <c r="E4" s="9" t="s">
        <v>191</v>
      </c>
      <c r="F4" s="9">
        <v>7000</v>
      </c>
      <c r="G4" s="9" t="s">
        <v>37</v>
      </c>
      <c r="H4" s="9">
        <v>45968.985557638887</v>
      </c>
      <c r="I4" s="9" t="s">
        <v>190</v>
      </c>
      <c r="J4" s="9" t="s">
        <v>192</v>
      </c>
    </row>
    <row r="5" spans="1:21" x14ac:dyDescent="0.25">
      <c r="A5" s="9" t="s">
        <v>91</v>
      </c>
      <c r="B5" s="9" t="s">
        <v>92</v>
      </c>
      <c r="C5" s="9" t="s">
        <v>22</v>
      </c>
      <c r="D5" s="9" t="s">
        <v>14</v>
      </c>
      <c r="E5" s="9" t="s">
        <v>94</v>
      </c>
      <c r="F5" s="9">
        <v>3700</v>
      </c>
      <c r="G5" s="9" t="s">
        <v>25</v>
      </c>
      <c r="H5" s="9">
        <v>45985.985557638887</v>
      </c>
      <c r="I5" s="9" t="s">
        <v>93</v>
      </c>
      <c r="J5" s="9" t="s">
        <v>95</v>
      </c>
    </row>
    <row r="6" spans="1:21" x14ac:dyDescent="0.25">
      <c r="A6" s="9" t="s">
        <v>0</v>
      </c>
      <c r="B6" s="9" t="s">
        <v>1</v>
      </c>
      <c r="C6" s="9" t="s">
        <v>2</v>
      </c>
      <c r="D6" s="9" t="s">
        <v>3</v>
      </c>
      <c r="E6" s="9" t="s">
        <v>5</v>
      </c>
      <c r="F6" s="9">
        <v>12500</v>
      </c>
      <c r="G6" s="9" t="s">
        <v>9</v>
      </c>
      <c r="H6" s="9">
        <v>45961.985555555555</v>
      </c>
      <c r="I6" s="9" t="s">
        <v>4</v>
      </c>
      <c r="J6" s="9" t="s">
        <v>10</v>
      </c>
    </row>
    <row r="7" spans="1:21" x14ac:dyDescent="0.25">
      <c r="A7" s="9" t="s">
        <v>20</v>
      </c>
      <c r="B7" s="9" t="s">
        <v>21</v>
      </c>
      <c r="C7" s="9" t="s">
        <v>22</v>
      </c>
      <c r="D7" s="9" t="s">
        <v>14</v>
      </c>
      <c r="E7" s="9" t="s">
        <v>16</v>
      </c>
      <c r="F7" s="9">
        <v>2640</v>
      </c>
      <c r="G7" s="9" t="s">
        <v>25</v>
      </c>
      <c r="H7" s="9">
        <v>45991.985557638887</v>
      </c>
      <c r="I7" s="9" t="s">
        <v>23</v>
      </c>
      <c r="J7" s="9" t="s">
        <v>26</v>
      </c>
    </row>
    <row r="8" spans="1:21" x14ac:dyDescent="0.25">
      <c r="A8" s="9" t="s">
        <v>161</v>
      </c>
      <c r="B8" s="9" t="s">
        <v>162</v>
      </c>
      <c r="C8" s="9" t="s">
        <v>163</v>
      </c>
      <c r="D8" s="9" t="s">
        <v>14</v>
      </c>
      <c r="E8" s="9" t="s">
        <v>165</v>
      </c>
      <c r="F8" s="9">
        <v>1450</v>
      </c>
      <c r="G8" s="9" t="s">
        <v>18</v>
      </c>
      <c r="H8" s="9">
        <v>45996.985557638887</v>
      </c>
      <c r="I8" s="9" t="s">
        <v>164</v>
      </c>
      <c r="J8" s="9" t="s">
        <v>166</v>
      </c>
    </row>
    <row r="9" spans="1:21" x14ac:dyDescent="0.25">
      <c r="A9" s="9" t="s">
        <v>193</v>
      </c>
      <c r="B9" s="9" t="s">
        <v>194</v>
      </c>
      <c r="C9" s="9" t="s">
        <v>184</v>
      </c>
      <c r="D9" s="9" t="s">
        <v>14</v>
      </c>
      <c r="E9" s="9" t="s">
        <v>196</v>
      </c>
      <c r="F9" s="9">
        <v>2400</v>
      </c>
      <c r="G9" s="9" t="s">
        <v>37</v>
      </c>
      <c r="H9" s="9">
        <v>45960.985557638887</v>
      </c>
      <c r="I9" s="9" t="s">
        <v>195</v>
      </c>
      <c r="J9" s="9" t="s">
        <v>197</v>
      </c>
    </row>
    <row r="10" spans="1:21" x14ac:dyDescent="0.25">
      <c r="A10" s="9" t="s">
        <v>32</v>
      </c>
      <c r="B10" s="9" t="s">
        <v>33</v>
      </c>
      <c r="C10" s="9" t="s">
        <v>34</v>
      </c>
      <c r="D10" s="9" t="s">
        <v>3</v>
      </c>
      <c r="E10" s="9" t="s">
        <v>36</v>
      </c>
      <c r="F10" s="9">
        <v>4575</v>
      </c>
      <c r="G10" s="9" t="s">
        <v>37</v>
      </c>
      <c r="H10" s="9">
        <v>45973.985557638887</v>
      </c>
      <c r="I10" s="9" t="s">
        <v>35</v>
      </c>
      <c r="J10" s="9" t="s">
        <v>38</v>
      </c>
    </row>
    <row r="11" spans="1:21" x14ac:dyDescent="0.25">
      <c r="A11" s="9" t="s">
        <v>71</v>
      </c>
      <c r="B11" s="9" t="s">
        <v>72</v>
      </c>
      <c r="C11" s="9" t="s">
        <v>46</v>
      </c>
      <c r="D11" s="9" t="s">
        <v>3</v>
      </c>
      <c r="E11" s="9" t="s">
        <v>74</v>
      </c>
      <c r="F11" s="9">
        <v>3000</v>
      </c>
      <c r="G11" s="9" t="s">
        <v>18</v>
      </c>
      <c r="H11" s="9">
        <v>45967.985557638887</v>
      </c>
      <c r="I11" s="9" t="s">
        <v>73</v>
      </c>
      <c r="J11" s="9" t="s">
        <v>75</v>
      </c>
    </row>
    <row r="12" spans="1:21" x14ac:dyDescent="0.25">
      <c r="A12" s="9" t="s">
        <v>67</v>
      </c>
      <c r="B12" s="9" t="s">
        <v>68</v>
      </c>
      <c r="C12" s="9" t="s">
        <v>13</v>
      </c>
      <c r="D12" s="9" t="s">
        <v>14</v>
      </c>
      <c r="E12" s="9" t="s">
        <v>70</v>
      </c>
      <c r="F12" s="9">
        <v>3100</v>
      </c>
      <c r="G12" s="9" t="s">
        <v>25</v>
      </c>
      <c r="H12" s="9">
        <v>45992.985557638887</v>
      </c>
      <c r="I12" s="9" t="s">
        <v>69</v>
      </c>
      <c r="J12" s="9" t="s">
        <v>275</v>
      </c>
    </row>
    <row r="13" spans="1:21" x14ac:dyDescent="0.25">
      <c r="A13" s="9" t="s">
        <v>111</v>
      </c>
      <c r="B13" s="9" t="s">
        <v>112</v>
      </c>
      <c r="C13" s="9" t="s">
        <v>22</v>
      </c>
      <c r="D13" s="9" t="s">
        <v>14</v>
      </c>
      <c r="E13" s="9" t="s">
        <v>114</v>
      </c>
      <c r="F13" s="9">
        <v>10000</v>
      </c>
      <c r="G13" s="9" t="s">
        <v>25</v>
      </c>
      <c r="H13" s="9">
        <v>46010.985557638887</v>
      </c>
      <c r="I13" s="9" t="s">
        <v>113</v>
      </c>
      <c r="J13" s="9" t="s">
        <v>115</v>
      </c>
    </row>
    <row r="14" spans="1:21" x14ac:dyDescent="0.25">
      <c r="A14" s="9" t="s">
        <v>11</v>
      </c>
      <c r="B14" s="9" t="s">
        <v>12</v>
      </c>
      <c r="C14" s="9" t="s">
        <v>13</v>
      </c>
      <c r="D14" s="9" t="s">
        <v>14</v>
      </c>
      <c r="E14" s="9" t="s">
        <v>16</v>
      </c>
      <c r="F14" s="9">
        <v>4750</v>
      </c>
      <c r="G14" s="9" t="s">
        <v>18</v>
      </c>
      <c r="H14" s="9">
        <v>45986.985557638887</v>
      </c>
      <c r="I14" s="9" t="s">
        <v>15</v>
      </c>
      <c r="J14" s="9" t="s">
        <v>19</v>
      </c>
    </row>
    <row r="15" spans="1:21" x14ac:dyDescent="0.25">
      <c r="A15" s="9" t="s">
        <v>127</v>
      </c>
      <c r="B15" s="9" t="s">
        <v>128</v>
      </c>
      <c r="C15" s="9" t="s">
        <v>129</v>
      </c>
      <c r="D15" s="9" t="s">
        <v>14</v>
      </c>
      <c r="E15" s="9" t="s">
        <v>131</v>
      </c>
      <c r="F15" s="9">
        <v>2930</v>
      </c>
      <c r="G15" s="9" t="s">
        <v>37</v>
      </c>
      <c r="H15" s="9">
        <v>45966.985557638887</v>
      </c>
      <c r="I15" s="9" t="s">
        <v>130</v>
      </c>
      <c r="J15" s="9" t="s">
        <v>132</v>
      </c>
    </row>
    <row r="16" spans="1:21" x14ac:dyDescent="0.25">
      <c r="A16" s="9" t="s">
        <v>176</v>
      </c>
      <c r="B16" s="9" t="s">
        <v>177</v>
      </c>
      <c r="C16" s="9" t="s">
        <v>178</v>
      </c>
      <c r="D16" s="9" t="s">
        <v>14</v>
      </c>
      <c r="E16" s="9" t="s">
        <v>180</v>
      </c>
      <c r="F16" s="9">
        <v>6000</v>
      </c>
      <c r="G16" s="9" t="s">
        <v>18</v>
      </c>
      <c r="H16" s="9">
        <v>45965.985557638887</v>
      </c>
      <c r="I16" s="9" t="s">
        <v>179</v>
      </c>
      <c r="J16" s="9" t="s">
        <v>181</v>
      </c>
    </row>
    <row r="17" spans="1:10" x14ac:dyDescent="0.25">
      <c r="A17" s="9" t="s">
        <v>76</v>
      </c>
      <c r="B17" s="9" t="s">
        <v>77</v>
      </c>
      <c r="C17" s="9" t="s">
        <v>13</v>
      </c>
      <c r="D17" s="9" t="s">
        <v>14</v>
      </c>
      <c r="E17" s="9" t="s">
        <v>79</v>
      </c>
      <c r="F17" s="9">
        <v>3000</v>
      </c>
      <c r="G17" s="9" t="s">
        <v>18</v>
      </c>
      <c r="H17" s="9">
        <v>46002.985557638887</v>
      </c>
      <c r="I17" s="9" t="s">
        <v>78</v>
      </c>
      <c r="J17" s="9" t="s">
        <v>80</v>
      </c>
    </row>
    <row r="18" spans="1:10" x14ac:dyDescent="0.25">
      <c r="A18" s="9" t="s">
        <v>86</v>
      </c>
      <c r="B18" s="9" t="s">
        <v>87</v>
      </c>
      <c r="C18" s="9" t="s">
        <v>13</v>
      </c>
      <c r="D18" s="9" t="s">
        <v>14</v>
      </c>
      <c r="E18" s="9" t="s">
        <v>89</v>
      </c>
      <c r="F18" s="9">
        <v>3200</v>
      </c>
      <c r="G18" s="9" t="s">
        <v>18</v>
      </c>
      <c r="H18" s="9">
        <v>45990.985557638887</v>
      </c>
      <c r="I18" s="9" t="s">
        <v>88</v>
      </c>
      <c r="J18" s="9" t="s">
        <v>90</v>
      </c>
    </row>
    <row r="19" spans="1:10" x14ac:dyDescent="0.25">
      <c r="A19" s="9" t="s">
        <v>203</v>
      </c>
      <c r="B19" s="9" t="s">
        <v>204</v>
      </c>
      <c r="C19" s="9" t="s">
        <v>22</v>
      </c>
      <c r="D19" s="9" t="s">
        <v>14</v>
      </c>
      <c r="E19" s="9" t="s">
        <v>201</v>
      </c>
      <c r="F19" s="9">
        <v>3100</v>
      </c>
      <c r="G19" s="9" t="s">
        <v>18</v>
      </c>
      <c r="H19" s="9">
        <v>45989.985557638887</v>
      </c>
      <c r="I19" s="9" t="s">
        <v>205</v>
      </c>
      <c r="J19" s="9" t="s">
        <v>206</v>
      </c>
    </row>
    <row r="20" spans="1:10" x14ac:dyDescent="0.25">
      <c r="A20" s="9" t="s">
        <v>198</v>
      </c>
      <c r="B20" s="9" t="s">
        <v>199</v>
      </c>
      <c r="C20" s="9" t="s">
        <v>34</v>
      </c>
      <c r="D20" s="9" t="s">
        <v>3</v>
      </c>
      <c r="E20" s="9" t="s">
        <v>201</v>
      </c>
      <c r="F20" s="9">
        <v>2823</v>
      </c>
      <c r="G20" s="9" t="s">
        <v>18</v>
      </c>
      <c r="H20" s="9">
        <v>45962.985557638887</v>
      </c>
      <c r="I20" s="9" t="s">
        <v>200</v>
      </c>
      <c r="J20" s="9" t="s">
        <v>202</v>
      </c>
    </row>
    <row r="21" spans="1:10" x14ac:dyDescent="0.25">
      <c r="A21" s="9" t="s">
        <v>44</v>
      </c>
      <c r="B21" s="9" t="s">
        <v>45</v>
      </c>
      <c r="C21" s="9" t="s">
        <v>46</v>
      </c>
      <c r="D21" s="9" t="s">
        <v>3</v>
      </c>
      <c r="E21" s="9" t="s">
        <v>48</v>
      </c>
      <c r="F21" s="9">
        <v>3200</v>
      </c>
      <c r="G21" s="9" t="s">
        <v>25</v>
      </c>
      <c r="H21" s="9">
        <v>45988.985557638887</v>
      </c>
      <c r="I21" s="9" t="s">
        <v>47</v>
      </c>
      <c r="J21" s="9" t="s">
        <v>49</v>
      </c>
    </row>
    <row r="22" spans="1:10" x14ac:dyDescent="0.25">
      <c r="A22" s="9" t="s">
        <v>133</v>
      </c>
      <c r="B22" s="9" t="s">
        <v>134</v>
      </c>
      <c r="C22" s="9" t="s">
        <v>52</v>
      </c>
      <c r="D22" s="9" t="s">
        <v>3</v>
      </c>
      <c r="E22" s="9" t="s">
        <v>136</v>
      </c>
      <c r="F22" s="9">
        <v>1250</v>
      </c>
      <c r="G22" s="9" t="s">
        <v>18</v>
      </c>
      <c r="H22" s="9">
        <v>45970.985557638887</v>
      </c>
      <c r="I22" s="9" t="s">
        <v>135</v>
      </c>
      <c r="J22" s="9" t="s">
        <v>137</v>
      </c>
    </row>
    <row r="23" spans="1:10" x14ac:dyDescent="0.25">
      <c r="A23" s="9" t="s">
        <v>172</v>
      </c>
      <c r="B23" s="9" t="s">
        <v>173</v>
      </c>
      <c r="C23" s="9" t="s">
        <v>46</v>
      </c>
      <c r="D23" s="9" t="s">
        <v>3</v>
      </c>
      <c r="E23" s="9" t="s">
        <v>79</v>
      </c>
      <c r="F23" s="9">
        <v>5000</v>
      </c>
      <c r="G23" s="9" t="s">
        <v>37</v>
      </c>
      <c r="H23" s="9">
        <v>45995.985557638887</v>
      </c>
      <c r="I23" s="9" t="s">
        <v>174</v>
      </c>
      <c r="J23" s="9" t="s">
        <v>175</v>
      </c>
    </row>
    <row r="24" spans="1:10" x14ac:dyDescent="0.25">
      <c r="A24" s="9" t="s">
        <v>81</v>
      </c>
      <c r="B24" s="9" t="s">
        <v>82</v>
      </c>
      <c r="C24" s="9" t="s">
        <v>13</v>
      </c>
      <c r="D24" s="9" t="s">
        <v>14</v>
      </c>
      <c r="E24" s="9" t="s">
        <v>84</v>
      </c>
      <c r="F24" s="9">
        <v>2430</v>
      </c>
      <c r="G24" s="9" t="s">
        <v>18</v>
      </c>
      <c r="H24" s="9">
        <v>45998.985557638887</v>
      </c>
      <c r="I24" s="9" t="s">
        <v>83</v>
      </c>
      <c r="J24" s="9" t="s">
        <v>85</v>
      </c>
    </row>
    <row r="25" spans="1:10" x14ac:dyDescent="0.25">
      <c r="A25" s="9" t="s">
        <v>96</v>
      </c>
      <c r="B25" s="9" t="s">
        <v>97</v>
      </c>
      <c r="C25" s="9" t="s">
        <v>13</v>
      </c>
      <c r="D25" s="9" t="s">
        <v>14</v>
      </c>
      <c r="E25" s="9" t="s">
        <v>99</v>
      </c>
      <c r="F25" s="9">
        <v>2400</v>
      </c>
      <c r="G25" s="9" t="s">
        <v>37</v>
      </c>
      <c r="H25" s="9">
        <v>45982.985557638887</v>
      </c>
      <c r="I25" s="9" t="s">
        <v>98</v>
      </c>
      <c r="J25" s="9" t="s">
        <v>100</v>
      </c>
    </row>
    <row r="26" spans="1:10" x14ac:dyDescent="0.25">
      <c r="A26" s="9" t="s">
        <v>211</v>
      </c>
      <c r="B26" s="9" t="s">
        <v>212</v>
      </c>
      <c r="C26" s="9" t="s">
        <v>13</v>
      </c>
      <c r="D26" s="9" t="s">
        <v>14</v>
      </c>
      <c r="E26" s="9" t="s">
        <v>214</v>
      </c>
      <c r="F26" s="9">
        <v>4490</v>
      </c>
      <c r="G26" s="9" t="s">
        <v>37</v>
      </c>
      <c r="H26" s="9">
        <v>46004.985557638887</v>
      </c>
      <c r="I26" s="9" t="s">
        <v>213</v>
      </c>
      <c r="J26" s="9" t="s">
        <v>215</v>
      </c>
    </row>
    <row r="27" spans="1:10" x14ac:dyDescent="0.25">
      <c r="A27" s="9" t="s">
        <v>39</v>
      </c>
      <c r="B27" s="9" t="s">
        <v>40</v>
      </c>
      <c r="C27" s="9" t="s">
        <v>22</v>
      </c>
      <c r="D27" s="9" t="s">
        <v>14</v>
      </c>
      <c r="E27" s="9" t="s">
        <v>42</v>
      </c>
      <c r="F27" s="9">
        <v>2750</v>
      </c>
      <c r="G27" s="9" t="s">
        <v>18</v>
      </c>
      <c r="H27" s="9">
        <v>46007.985557638887</v>
      </c>
      <c r="I27" s="9" t="s">
        <v>41</v>
      </c>
      <c r="J27" s="9" t="s">
        <v>43</v>
      </c>
    </row>
    <row r="28" spans="1:10" x14ac:dyDescent="0.25">
      <c r="A28" s="9" t="s">
        <v>157</v>
      </c>
      <c r="B28" s="9" t="s">
        <v>158</v>
      </c>
      <c r="C28" s="9" t="s">
        <v>34</v>
      </c>
      <c r="D28" s="9" t="s">
        <v>3</v>
      </c>
      <c r="E28" s="9" t="s">
        <v>160</v>
      </c>
      <c r="F28" s="9">
        <v>3381</v>
      </c>
      <c r="G28" s="9" t="s">
        <v>37</v>
      </c>
      <c r="H28" s="9">
        <v>45964.985557638887</v>
      </c>
      <c r="I28" s="9" t="s">
        <v>159</v>
      </c>
      <c r="J28" s="9" t="s">
        <v>37</v>
      </c>
    </row>
    <row r="29" spans="1:10" x14ac:dyDescent="0.25">
      <c r="A29" s="9" t="s">
        <v>182</v>
      </c>
      <c r="B29" s="9" t="s">
        <v>183</v>
      </c>
      <c r="C29" s="9" t="s">
        <v>184</v>
      </c>
      <c r="D29" s="9" t="s">
        <v>14</v>
      </c>
      <c r="E29" s="9" t="s">
        <v>186</v>
      </c>
      <c r="F29" s="9">
        <v>2570</v>
      </c>
      <c r="G29" s="9" t="s">
        <v>25</v>
      </c>
      <c r="H29" s="9">
        <v>45976.985557638887</v>
      </c>
      <c r="I29" s="9" t="s">
        <v>185</v>
      </c>
      <c r="J29" s="9" t="s">
        <v>187</v>
      </c>
    </row>
    <row r="30" spans="1:10" x14ac:dyDescent="0.25">
      <c r="A30" s="9" t="s">
        <v>106</v>
      </c>
      <c r="B30" s="9" t="s">
        <v>107</v>
      </c>
      <c r="C30" s="9" t="s">
        <v>22</v>
      </c>
      <c r="D30" s="9" t="s">
        <v>14</v>
      </c>
      <c r="E30" s="9" t="s">
        <v>109</v>
      </c>
      <c r="F30" s="9">
        <v>7000</v>
      </c>
      <c r="G30" s="9" t="s">
        <v>25</v>
      </c>
      <c r="H30" s="9">
        <v>45984.985557638887</v>
      </c>
      <c r="I30" s="9" t="s">
        <v>108</v>
      </c>
      <c r="J30" s="9" t="s">
        <v>110</v>
      </c>
    </row>
    <row r="31" spans="1:10" x14ac:dyDescent="0.25">
      <c r="A31" s="9" t="s">
        <v>167</v>
      </c>
      <c r="B31" s="9" t="s">
        <v>168</v>
      </c>
      <c r="C31" s="9" t="s">
        <v>34</v>
      </c>
      <c r="D31" s="9" t="s">
        <v>3</v>
      </c>
      <c r="E31" s="9" t="s">
        <v>170</v>
      </c>
      <c r="F31" s="9">
        <v>1400</v>
      </c>
      <c r="G31" s="9" t="s">
        <v>37</v>
      </c>
      <c r="H31" s="9">
        <v>46009.985557638887</v>
      </c>
      <c r="I31" s="9" t="s">
        <v>169</v>
      </c>
      <c r="J31" s="9" t="s">
        <v>171</v>
      </c>
    </row>
    <row r="32" spans="1:10" x14ac:dyDescent="0.25">
      <c r="A32" s="9" t="s">
        <v>116</v>
      </c>
      <c r="B32" s="9" t="s">
        <v>117</v>
      </c>
      <c r="C32" s="9" t="s">
        <v>118</v>
      </c>
      <c r="D32" s="9" t="s">
        <v>3</v>
      </c>
      <c r="E32" s="9" t="s">
        <v>120</v>
      </c>
      <c r="F32" s="9">
        <v>2725</v>
      </c>
      <c r="G32" s="9" t="s">
        <v>37</v>
      </c>
      <c r="H32" s="9">
        <v>45959.985557638887</v>
      </c>
      <c r="I32" s="9" t="s">
        <v>119</v>
      </c>
      <c r="J32" s="9" t="s">
        <v>121</v>
      </c>
    </row>
    <row r="33" spans="1:10" x14ac:dyDescent="0.25">
      <c r="A33" s="9" t="s">
        <v>143</v>
      </c>
      <c r="B33" s="9" t="s">
        <v>144</v>
      </c>
      <c r="C33" s="9" t="s">
        <v>34</v>
      </c>
      <c r="D33" s="9" t="s">
        <v>3</v>
      </c>
      <c r="E33" s="9" t="s">
        <v>30</v>
      </c>
      <c r="F33" s="9">
        <v>2300</v>
      </c>
      <c r="G33" s="9" t="s">
        <v>18</v>
      </c>
      <c r="H33" s="9">
        <v>45958.985557662032</v>
      </c>
      <c r="I33" s="9" t="s">
        <v>145</v>
      </c>
      <c r="J33" s="9" t="s">
        <v>146</v>
      </c>
    </row>
    <row r="34" spans="1:10" x14ac:dyDescent="0.25">
      <c r="A34" s="9" t="s">
        <v>27</v>
      </c>
      <c r="B34" s="9" t="s">
        <v>28</v>
      </c>
      <c r="C34" s="9" t="s">
        <v>22</v>
      </c>
      <c r="D34" s="9" t="s">
        <v>14</v>
      </c>
      <c r="E34" s="9" t="s">
        <v>30</v>
      </c>
      <c r="F34" s="9">
        <v>5000</v>
      </c>
      <c r="G34" s="9" t="s">
        <v>25</v>
      </c>
      <c r="H34" s="9">
        <v>46000.985557638887</v>
      </c>
      <c r="I34" s="9" t="s">
        <v>29</v>
      </c>
      <c r="J34" s="9" t="s">
        <v>31</v>
      </c>
    </row>
    <row r="35" spans="1:10" x14ac:dyDescent="0.25">
      <c r="A35" s="9" t="s">
        <v>57</v>
      </c>
      <c r="B35" s="9" t="s">
        <v>58</v>
      </c>
      <c r="C35" s="9" t="s">
        <v>22</v>
      </c>
      <c r="D35" s="9" t="s">
        <v>14</v>
      </c>
      <c r="E35" s="9" t="s">
        <v>60</v>
      </c>
      <c r="F35" s="9">
        <v>3600</v>
      </c>
      <c r="G35" s="9" t="s">
        <v>18</v>
      </c>
      <c r="H35" s="9">
        <v>46006.985557638887</v>
      </c>
      <c r="I35" s="9" t="s">
        <v>59</v>
      </c>
      <c r="J35" s="9" t="s">
        <v>61</v>
      </c>
    </row>
    <row r="36" spans="1:10" x14ac:dyDescent="0.25">
      <c r="A36" s="9" t="s">
        <v>62</v>
      </c>
      <c r="B36" s="9" t="s">
        <v>63</v>
      </c>
      <c r="C36" s="9" t="s">
        <v>34</v>
      </c>
      <c r="D36" s="9" t="s">
        <v>3</v>
      </c>
      <c r="E36" s="9" t="s">
        <v>65</v>
      </c>
      <c r="F36" s="9">
        <v>2200</v>
      </c>
      <c r="G36" s="9" t="s">
        <v>25</v>
      </c>
      <c r="H36" s="9">
        <v>45971.985557638887</v>
      </c>
      <c r="I36" s="9" t="s">
        <v>64</v>
      </c>
      <c r="J36" s="9" t="s">
        <v>66</v>
      </c>
    </row>
    <row r="37" spans="1:10" x14ac:dyDescent="0.25">
      <c r="A37" s="9" t="s">
        <v>122</v>
      </c>
      <c r="B37" s="9" t="s">
        <v>123</v>
      </c>
      <c r="C37" s="9" t="s">
        <v>13</v>
      </c>
      <c r="D37" s="9" t="s">
        <v>14</v>
      </c>
      <c r="E37" s="9" t="s">
        <v>125</v>
      </c>
      <c r="F37" s="9">
        <v>6000</v>
      </c>
      <c r="G37" s="9" t="s">
        <v>18</v>
      </c>
      <c r="H37" s="9">
        <v>45972.985557638887</v>
      </c>
      <c r="I37" s="9" t="s">
        <v>124</v>
      </c>
      <c r="J37" s="9" t="s">
        <v>126</v>
      </c>
    </row>
    <row r="38" spans="1:10" x14ac:dyDescent="0.25">
      <c r="A38" s="9" t="s">
        <v>138</v>
      </c>
      <c r="B38" s="9" t="s">
        <v>139</v>
      </c>
      <c r="C38" s="9" t="s">
        <v>34</v>
      </c>
      <c r="D38" s="9" t="s">
        <v>3</v>
      </c>
      <c r="E38" s="9" t="s">
        <v>141</v>
      </c>
      <c r="F38" s="9">
        <v>3000</v>
      </c>
      <c r="G38" s="9" t="s">
        <v>37</v>
      </c>
      <c r="H38" s="9">
        <v>45981.985557638887</v>
      </c>
      <c r="I38" s="9" t="s">
        <v>140</v>
      </c>
      <c r="J38" s="9" t="s">
        <v>142</v>
      </c>
    </row>
    <row r="39" spans="1:10" x14ac:dyDescent="0.25">
      <c r="A39" s="9" t="s">
        <v>224</v>
      </c>
      <c r="B39" s="9" t="s">
        <v>225</v>
      </c>
      <c r="C39" s="9" t="s">
        <v>34</v>
      </c>
      <c r="D39" s="9" t="s">
        <v>3</v>
      </c>
      <c r="E39" s="9" t="s">
        <v>227</v>
      </c>
      <c r="F39" s="9">
        <v>2300</v>
      </c>
      <c r="G39" s="9" t="s">
        <v>18</v>
      </c>
      <c r="H39" s="9">
        <v>46008.985557638887</v>
      </c>
      <c r="I39" s="9" t="s">
        <v>226</v>
      </c>
      <c r="J39" s="9" t="s">
        <v>228</v>
      </c>
    </row>
    <row r="40" spans="1:10" x14ac:dyDescent="0.25">
      <c r="A40" s="9" t="s">
        <v>216</v>
      </c>
      <c r="B40" s="9" t="s">
        <v>217</v>
      </c>
      <c r="C40" s="9" t="s">
        <v>22</v>
      </c>
      <c r="D40" s="9" t="s">
        <v>14</v>
      </c>
      <c r="E40" s="9" t="s">
        <v>94</v>
      </c>
      <c r="F40" s="9">
        <v>3000</v>
      </c>
      <c r="G40" s="9" t="s">
        <v>18</v>
      </c>
      <c r="H40" s="9">
        <v>45997.985557638887</v>
      </c>
      <c r="I40" s="9" t="s">
        <v>218</v>
      </c>
      <c r="J40" s="9" t="s">
        <v>219</v>
      </c>
    </row>
    <row r="41" spans="1:10" x14ac:dyDescent="0.25">
      <c r="A41" s="9" t="s">
        <v>220</v>
      </c>
      <c r="B41" s="9" t="s">
        <v>221</v>
      </c>
      <c r="C41" s="9" t="s">
        <v>178</v>
      </c>
      <c r="D41" s="9" t="s">
        <v>14</v>
      </c>
      <c r="E41" s="9" t="s">
        <v>94</v>
      </c>
      <c r="F41" s="9">
        <v>1950</v>
      </c>
      <c r="G41" s="9" t="s">
        <v>9</v>
      </c>
      <c r="H41" s="9">
        <v>45969.985557638887</v>
      </c>
      <c r="I41" s="9" t="s">
        <v>222</v>
      </c>
      <c r="J41" s="9" t="s">
        <v>223</v>
      </c>
    </row>
    <row r="42" spans="1:10" x14ac:dyDescent="0.25">
      <c r="A42" s="9" t="s">
        <v>147</v>
      </c>
      <c r="B42" s="9" t="s">
        <v>148</v>
      </c>
      <c r="C42" s="9" t="s">
        <v>22</v>
      </c>
      <c r="D42" s="9" t="s">
        <v>14</v>
      </c>
      <c r="E42" s="9" t="s">
        <v>30</v>
      </c>
      <c r="F42" s="9">
        <v>1130</v>
      </c>
      <c r="G42" s="9" t="s">
        <v>18</v>
      </c>
      <c r="H42" s="9">
        <v>46005.985557638887</v>
      </c>
      <c r="I42" s="9" t="s">
        <v>149</v>
      </c>
      <c r="J42" s="9" t="s">
        <v>150</v>
      </c>
    </row>
    <row r="43" spans="1:10" x14ac:dyDescent="0.25">
      <c r="A43" s="9" t="s">
        <v>207</v>
      </c>
      <c r="B43" s="9" t="s">
        <v>208</v>
      </c>
      <c r="C43" s="9" t="s">
        <v>22</v>
      </c>
      <c r="D43" s="9" t="s">
        <v>14</v>
      </c>
      <c r="E43" s="9" t="s">
        <v>201</v>
      </c>
      <c r="F43" s="9">
        <v>1800</v>
      </c>
      <c r="G43" s="9" t="s">
        <v>18</v>
      </c>
      <c r="H43" s="9">
        <v>45999.985557638887</v>
      </c>
      <c r="I43" s="9" t="s">
        <v>209</v>
      </c>
      <c r="J43" s="9" t="s">
        <v>210</v>
      </c>
    </row>
    <row r="44" spans="1:10" x14ac:dyDescent="0.25">
      <c r="A44" s="9" t="s">
        <v>50</v>
      </c>
      <c r="B44" s="9" t="s">
        <v>51</v>
      </c>
      <c r="C44" s="9" t="s">
        <v>52</v>
      </c>
      <c r="D44" s="9" t="s">
        <v>3</v>
      </c>
      <c r="E44" s="9" t="s">
        <v>54</v>
      </c>
      <c r="F44" s="9">
        <v>1000</v>
      </c>
      <c r="G44" s="9" t="s">
        <v>18</v>
      </c>
      <c r="H44" s="9">
        <v>45963.985557638887</v>
      </c>
      <c r="I44" s="9" t="s">
        <v>53</v>
      </c>
      <c r="J44" s="9" t="s">
        <v>56</v>
      </c>
    </row>
  </sheetData>
  <hyperlinks>
    <hyperlink ref="I13" r:id="rId1" xr:uid="{7C9B42D6-AE4A-4820-BAE0-67F493AC9DFA}"/>
    <hyperlink ref="I31" r:id="rId2" xr:uid="{9EB62845-9811-4E07-A033-F070CBBD7BD3}"/>
    <hyperlink ref="I39" r:id="rId3" xr:uid="{B0AC354B-10A4-4BE0-9017-B3D192B7CC0F}"/>
    <hyperlink ref="I27" r:id="rId4" xr:uid="{2FE46095-CC33-4C7E-ACB9-04CD7C97704A}"/>
    <hyperlink ref="I35" r:id="rId5" xr:uid="{08FEBA80-FE2D-4FA1-870F-557C7F31D51F}"/>
    <hyperlink ref="I42" r:id="rId6" xr:uid="{5B487B48-D513-44F1-B81F-0ECE9E029574}"/>
    <hyperlink ref="I26" r:id="rId7" xr:uid="{BA9C244E-6C40-40CA-BC30-B44464F3FBCC}"/>
    <hyperlink ref="I17" r:id="rId8" xr:uid="{8F975B6A-0A26-419F-A689-DF8447F3259B}"/>
    <hyperlink ref="I3" r:id="rId9" xr:uid="{26A6E63B-5FA1-4A94-B625-C1B6D4F56CAA}"/>
    <hyperlink ref="I34" r:id="rId10" xr:uid="{26261753-1983-4F3D-B2EB-3BE7EE67051C}"/>
    <hyperlink ref="I43" r:id="rId11" xr:uid="{2D5C7C9E-AD0B-496D-9887-AAB12923A51C}"/>
    <hyperlink ref="I24" r:id="rId12" xr:uid="{BDE0D72A-B808-46C2-B1AA-7B5CABC135D0}"/>
    <hyperlink ref="I40" r:id="rId13" xr:uid="{4720F638-9E7C-4247-9560-27D90E8688F1}"/>
    <hyperlink ref="I8" r:id="rId14" xr:uid="{1CF6BFDC-0CBB-4241-A533-2245DBF683CE}"/>
    <hyperlink ref="I23" r:id="rId15" xr:uid="{A10C4275-0202-4FAB-A162-7C6525080560}"/>
    <hyperlink ref="I12" r:id="rId16" xr:uid="{86FDBF1E-935D-42B3-8D47-8E5D13D17B03}"/>
    <hyperlink ref="I7" r:id="rId17" xr:uid="{63F7572F-3282-43A2-BDE5-4AB084D2625B}"/>
    <hyperlink ref="I18" r:id="rId18" xr:uid="{8B33CF30-2B9D-4632-8782-318B7855DB4B}"/>
    <hyperlink ref="I19" r:id="rId19" xr:uid="{8C0F77EB-3572-4B5F-A620-EB8A1DF1DDAF}"/>
    <hyperlink ref="I21" r:id="rId20" xr:uid="{86A813DA-AB36-458C-A005-0246A2BD3603}"/>
    <hyperlink ref="I14" r:id="rId21" xr:uid="{E9193B97-D36B-4392-8E43-B705F0104D36}"/>
    <hyperlink ref="I5" r:id="rId22" xr:uid="{A23B626D-6A97-4EB2-84DA-D84B9BB26551}"/>
    <hyperlink ref="I30" r:id="rId23" xr:uid="{704D40CB-743A-42EE-8F1B-A0C663481884}"/>
    <hyperlink ref="I25" r:id="rId24" xr:uid="{8D33D737-BC69-4BF9-8CFB-159FF49C089C}"/>
    <hyperlink ref="I38" r:id="rId25" xr:uid="{F2CB7E80-BE35-44FE-ADF3-E6A42D5EB7D2}"/>
    <hyperlink ref="I29" r:id="rId26" xr:uid="{E9BD64B0-0737-4A2E-AF45-7859B35B5002}"/>
    <hyperlink ref="I2" r:id="rId27" xr:uid="{62CEEE3A-358C-48FB-91E5-F46B16C66B78}"/>
    <hyperlink ref="I10" r:id="rId28" xr:uid="{2306D7E6-6A12-4FA8-93EC-93F69429219B}"/>
    <hyperlink ref="I37" r:id="rId29" xr:uid="{4B64E74D-BD70-44C5-B4A1-5789AC79A044}"/>
    <hyperlink ref="I36" r:id="rId30" xr:uid="{4725647A-FFF6-478C-A844-1CDC15F6B1DE}"/>
    <hyperlink ref="I22" r:id="rId31" xr:uid="{F19ACEC0-7E59-46C5-9674-0CC75852A748}"/>
    <hyperlink ref="I41" r:id="rId32" xr:uid="{FC9E4A44-E26D-4153-9D9C-BEE47E9EB6D9}"/>
    <hyperlink ref="I4" r:id="rId33" xr:uid="{14322427-1FB9-4097-8EE3-B8B406B9B328}"/>
    <hyperlink ref="I11" r:id="rId34" xr:uid="{736A7548-4324-4F07-B1A4-E66F0C3BCE01}"/>
    <hyperlink ref="I15" r:id="rId35" xr:uid="{0539EC02-F487-40E6-910F-3BC1A26238E4}"/>
    <hyperlink ref="I16" r:id="rId36" xr:uid="{ED078207-7873-4651-9D76-950ECCF26B6F}"/>
    <hyperlink ref="I28" r:id="rId37" xr:uid="{1EE1D8A7-0C7E-45EB-9000-5FCC6828FAC4}"/>
    <hyperlink ref="I44" r:id="rId38" xr:uid="{3CF69674-AEF6-4F9E-98EE-DA89E4686B71}"/>
    <hyperlink ref="I20" r:id="rId39" xr:uid="{CEC909BA-70B7-415A-A262-7CF51BD47619}"/>
    <hyperlink ref="I6" r:id="rId40" xr:uid="{095E443B-7EE0-41C9-943C-E986AB7AAF5A}"/>
    <hyperlink ref="I9" r:id="rId41" xr:uid="{C0D993D1-7C78-4145-9026-59EBDE9B02D8}"/>
    <hyperlink ref="I32" r:id="rId42" xr:uid="{6DD9397C-BB2A-45F5-B4B7-EFD37C2720FD}"/>
    <hyperlink ref="I33" r:id="rId43" xr:uid="{64F4A2D9-A80A-46B7-932D-1D233818E32A}"/>
  </hyperlinks>
  <pageMargins left="0.7" right="0.7" top="0.75" bottom="0.75" header="0.3" footer="0.3"/>
  <legacyDrawing r:id="rId44"/>
  <tableParts count="1">
    <tablePart r:id="rId4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20"/>
  <sheetViews>
    <sheetView zoomScale="70" zoomScaleNormal="70" workbookViewId="0">
      <selection activeCell="I52" sqref="I52"/>
    </sheetView>
  </sheetViews>
  <sheetFormatPr defaultRowHeight="15" x14ac:dyDescent="0.25"/>
  <cols>
    <col min="1" max="1" width="26.85546875" customWidth="1"/>
    <col min="2" max="2" width="31.140625" customWidth="1"/>
    <col min="3" max="3" width="24.7109375" customWidth="1"/>
    <col min="4" max="4" width="10.42578125" customWidth="1"/>
    <col min="5" max="5" width="14.5703125" bestFit="1" customWidth="1"/>
    <col min="6" max="6" width="12.5703125" customWidth="1"/>
    <col min="7" max="7" width="16.7109375" customWidth="1"/>
    <col min="8" max="8" width="19.85546875" customWidth="1"/>
    <col min="9" max="9" width="17.5703125" customWidth="1"/>
    <col min="10" max="10" width="22.28515625" customWidth="1"/>
    <col min="11" max="11" width="24.7109375" customWidth="1"/>
    <col min="12" max="12" width="31.140625" customWidth="1"/>
    <col min="13" max="13" width="47.7109375" customWidth="1"/>
    <col min="14" max="14" width="57.5703125" customWidth="1"/>
    <col min="15" max="15" width="20.140625" bestFit="1" customWidth="1"/>
  </cols>
  <sheetData>
    <row r="1" spans="1:56" s="7" customFormat="1" x14ac:dyDescent="0.25">
      <c r="A1" t="s">
        <v>230</v>
      </c>
      <c r="B1" t="s">
        <v>261</v>
      </c>
      <c r="C1" t="s">
        <v>231</v>
      </c>
      <c r="D1" t="s">
        <v>232</v>
      </c>
      <c r="E1" t="s">
        <v>233</v>
      </c>
      <c r="F1" t="s">
        <v>234</v>
      </c>
      <c r="G1" t="s">
        <v>235</v>
      </c>
      <c r="H1" t="s">
        <v>239</v>
      </c>
      <c r="I1" t="s">
        <v>237</v>
      </c>
      <c r="J1" t="s">
        <v>236</v>
      </c>
      <c r="K1" t="s">
        <v>238</v>
      </c>
      <c r="L1" t="s">
        <v>274</v>
      </c>
      <c r="M1" t="s">
        <v>244</v>
      </c>
      <c r="N1" t="s">
        <v>246</v>
      </c>
      <c r="O1" t="s">
        <v>240</v>
      </c>
      <c r="P1"/>
      <c r="Q1"/>
      <c r="R1"/>
      <c r="S1"/>
      <c r="T1"/>
      <c r="U1"/>
      <c r="V1"/>
      <c r="W1"/>
      <c r="X1"/>
      <c r="Y1"/>
      <c r="Z1"/>
      <c r="AA1"/>
      <c r="AB1"/>
      <c r="AC1"/>
      <c r="AD1"/>
      <c r="AE1"/>
      <c r="AF1"/>
      <c r="AG1"/>
      <c r="AH1"/>
      <c r="AI1"/>
      <c r="AJ1"/>
      <c r="AK1"/>
      <c r="AL1"/>
      <c r="AM1"/>
      <c r="AN1"/>
      <c r="AO1"/>
      <c r="AP1"/>
      <c r="AQ1"/>
      <c r="AR1"/>
      <c r="AS1"/>
      <c r="AT1"/>
      <c r="AU1"/>
      <c r="AV1"/>
      <c r="AW1"/>
      <c r="AX1"/>
      <c r="AY1"/>
      <c r="AZ1"/>
      <c r="BA1"/>
      <c r="BB1"/>
      <c r="BC1"/>
      <c r="BD1"/>
    </row>
    <row r="2" spans="1:56" s="8" customFormat="1" x14ac:dyDescent="0.25">
      <c r="A2" t="s">
        <v>116</v>
      </c>
      <c r="B2" t="s">
        <v>117</v>
      </c>
      <c r="C2" t="s">
        <v>118</v>
      </c>
      <c r="D2" t="s">
        <v>3</v>
      </c>
      <c r="E2" t="s">
        <v>120</v>
      </c>
      <c r="F2">
        <v>2725</v>
      </c>
      <c r="G2">
        <v>1250</v>
      </c>
      <c r="H2" t="s">
        <v>7</v>
      </c>
      <c r="I2">
        <v>3</v>
      </c>
      <c r="J2" t="s">
        <v>6</v>
      </c>
      <c r="K2" t="s">
        <v>7</v>
      </c>
      <c r="L2" t="s">
        <v>6</v>
      </c>
      <c r="M2" t="s">
        <v>24</v>
      </c>
      <c r="N2" t="s">
        <v>7</v>
      </c>
      <c r="O2" t="s">
        <v>37</v>
      </c>
      <c r="P2"/>
      <c r="Q2"/>
      <c r="R2"/>
      <c r="S2"/>
      <c r="T2"/>
      <c r="U2"/>
      <c r="V2"/>
      <c r="W2"/>
      <c r="X2"/>
      <c r="Y2"/>
      <c r="Z2"/>
      <c r="AA2"/>
      <c r="AB2"/>
      <c r="AC2"/>
      <c r="AD2"/>
      <c r="AE2"/>
      <c r="AF2"/>
      <c r="AG2"/>
      <c r="AH2"/>
      <c r="AI2"/>
      <c r="AJ2"/>
      <c r="AK2"/>
      <c r="AL2"/>
      <c r="AM2"/>
      <c r="AN2"/>
      <c r="AO2"/>
      <c r="AP2"/>
      <c r="AQ2"/>
      <c r="AR2"/>
      <c r="AS2"/>
      <c r="AT2"/>
      <c r="AU2"/>
      <c r="AV2"/>
      <c r="AW2"/>
      <c r="AX2"/>
      <c r="AY2"/>
      <c r="AZ2"/>
      <c r="BA2"/>
      <c r="BB2"/>
      <c r="BC2"/>
      <c r="BD2"/>
    </row>
    <row r="3" spans="1:56" s="8" customFormat="1" x14ac:dyDescent="0.25">
      <c r="A3" t="s">
        <v>122</v>
      </c>
      <c r="B3" t="s">
        <v>123</v>
      </c>
      <c r="C3" t="s">
        <v>13</v>
      </c>
      <c r="D3" t="s">
        <v>14</v>
      </c>
      <c r="E3" t="s">
        <v>125</v>
      </c>
      <c r="F3">
        <v>6000</v>
      </c>
      <c r="G3">
        <v>1200</v>
      </c>
      <c r="H3" t="s">
        <v>7</v>
      </c>
      <c r="I3">
        <v>3</v>
      </c>
      <c r="J3" t="s">
        <v>6</v>
      </c>
      <c r="K3" t="s">
        <v>6</v>
      </c>
      <c r="L3" t="s">
        <v>7</v>
      </c>
      <c r="M3" t="s">
        <v>24</v>
      </c>
      <c r="N3" t="s">
        <v>6</v>
      </c>
      <c r="O3" t="s">
        <v>18</v>
      </c>
      <c r="P3"/>
      <c r="Q3"/>
      <c r="R3"/>
      <c r="S3"/>
      <c r="T3"/>
      <c r="U3"/>
      <c r="V3"/>
      <c r="W3"/>
      <c r="X3"/>
      <c r="Y3"/>
      <c r="Z3"/>
      <c r="AA3"/>
      <c r="AB3"/>
      <c r="AC3"/>
      <c r="AD3"/>
      <c r="AE3"/>
      <c r="AF3"/>
      <c r="AG3"/>
      <c r="AH3"/>
      <c r="AI3"/>
      <c r="AJ3"/>
      <c r="AK3"/>
      <c r="AL3"/>
      <c r="AM3"/>
      <c r="AN3"/>
      <c r="AO3"/>
      <c r="AP3"/>
      <c r="AQ3"/>
      <c r="AR3"/>
      <c r="AS3"/>
      <c r="AT3"/>
      <c r="AU3"/>
      <c r="AV3"/>
      <c r="AW3"/>
      <c r="AX3"/>
      <c r="AY3"/>
      <c r="AZ3"/>
      <c r="BA3"/>
      <c r="BB3"/>
      <c r="BC3"/>
      <c r="BD3"/>
    </row>
    <row r="4" spans="1:56" s="8" customFormat="1" x14ac:dyDescent="0.25">
      <c r="A4" t="s">
        <v>127</v>
      </c>
      <c r="B4" t="s">
        <v>128</v>
      </c>
      <c r="C4" t="s">
        <v>129</v>
      </c>
      <c r="D4" t="s">
        <v>14</v>
      </c>
      <c r="E4" t="s">
        <v>131</v>
      </c>
      <c r="F4">
        <v>2930</v>
      </c>
      <c r="G4">
        <v>1200</v>
      </c>
      <c r="H4" t="s">
        <v>7</v>
      </c>
      <c r="I4">
        <v>5</v>
      </c>
      <c r="J4" t="s">
        <v>6</v>
      </c>
      <c r="K4" t="s">
        <v>7</v>
      </c>
      <c r="L4" t="s">
        <v>7</v>
      </c>
      <c r="M4" t="s">
        <v>24</v>
      </c>
      <c r="N4" t="s">
        <v>6</v>
      </c>
      <c r="O4" t="s">
        <v>37</v>
      </c>
      <c r="P4"/>
      <c r="Q4"/>
      <c r="R4"/>
      <c r="S4"/>
      <c r="T4"/>
      <c r="U4"/>
      <c r="V4"/>
      <c r="W4"/>
      <c r="X4"/>
      <c r="Y4"/>
      <c r="Z4"/>
      <c r="AA4"/>
      <c r="AB4"/>
      <c r="AC4"/>
      <c r="AD4"/>
      <c r="AE4"/>
      <c r="AF4"/>
      <c r="AG4"/>
      <c r="AH4"/>
      <c r="AI4"/>
      <c r="AJ4"/>
      <c r="AK4"/>
      <c r="AL4"/>
      <c r="AM4"/>
      <c r="AN4"/>
      <c r="AO4"/>
      <c r="AP4"/>
      <c r="AQ4"/>
      <c r="AR4"/>
      <c r="AS4"/>
      <c r="AT4"/>
      <c r="AU4"/>
      <c r="AV4"/>
      <c r="AW4"/>
      <c r="AX4"/>
      <c r="AY4"/>
      <c r="AZ4"/>
      <c r="BA4"/>
      <c r="BB4"/>
      <c r="BC4"/>
      <c r="BD4"/>
    </row>
    <row r="5" spans="1:56" s="8" customFormat="1" x14ac:dyDescent="0.25">
      <c r="A5" t="s">
        <v>133</v>
      </c>
      <c r="B5" t="s">
        <v>134</v>
      </c>
      <c r="C5" t="s">
        <v>52</v>
      </c>
      <c r="D5" t="s">
        <v>3</v>
      </c>
      <c r="E5" t="s">
        <v>136</v>
      </c>
      <c r="F5">
        <v>1250</v>
      </c>
      <c r="G5">
        <v>1250</v>
      </c>
      <c r="H5" t="s">
        <v>7</v>
      </c>
      <c r="I5">
        <v>2</v>
      </c>
      <c r="J5" t="s">
        <v>6</v>
      </c>
      <c r="K5" t="s">
        <v>7</v>
      </c>
      <c r="L5" t="s">
        <v>7</v>
      </c>
      <c r="M5" t="s">
        <v>8</v>
      </c>
      <c r="N5" t="s">
        <v>7</v>
      </c>
      <c r="O5" t="s">
        <v>18</v>
      </c>
      <c r="P5"/>
      <c r="Q5"/>
      <c r="R5"/>
      <c r="S5"/>
      <c r="T5"/>
      <c r="U5"/>
      <c r="V5"/>
      <c r="W5"/>
      <c r="X5"/>
      <c r="Y5"/>
      <c r="Z5"/>
      <c r="AA5"/>
      <c r="AB5"/>
      <c r="AC5"/>
      <c r="AD5"/>
      <c r="AE5"/>
      <c r="AF5"/>
      <c r="AG5"/>
      <c r="AH5"/>
      <c r="AI5"/>
      <c r="AJ5"/>
      <c r="AK5"/>
      <c r="AL5"/>
      <c r="AM5"/>
      <c r="AN5"/>
      <c r="AO5"/>
      <c r="AP5"/>
      <c r="AQ5"/>
      <c r="AR5"/>
      <c r="AS5"/>
      <c r="AT5"/>
      <c r="AU5"/>
      <c r="AV5"/>
      <c r="AW5"/>
      <c r="AX5"/>
      <c r="AY5"/>
      <c r="AZ5"/>
      <c r="BA5"/>
      <c r="BB5"/>
      <c r="BC5"/>
      <c r="BD5"/>
    </row>
    <row r="6" spans="1:56" s="8" customFormat="1" x14ac:dyDescent="0.25">
      <c r="A6" t="s">
        <v>27</v>
      </c>
      <c r="B6" t="s">
        <v>28</v>
      </c>
      <c r="C6" t="s">
        <v>22</v>
      </c>
      <c r="D6" t="s">
        <v>14</v>
      </c>
      <c r="E6" t="s">
        <v>30</v>
      </c>
      <c r="F6">
        <v>5000</v>
      </c>
      <c r="G6">
        <v>1200</v>
      </c>
      <c r="H6" t="s">
        <v>6</v>
      </c>
      <c r="I6">
        <v>1</v>
      </c>
      <c r="J6" t="s">
        <v>6</v>
      </c>
      <c r="K6" t="s">
        <v>7</v>
      </c>
      <c r="L6" t="s">
        <v>7</v>
      </c>
      <c r="M6" t="s">
        <v>24</v>
      </c>
      <c r="N6" t="s">
        <v>7</v>
      </c>
      <c r="O6" t="s">
        <v>25</v>
      </c>
      <c r="P6"/>
      <c r="Q6"/>
      <c r="R6"/>
      <c r="S6"/>
      <c r="T6"/>
      <c r="U6"/>
      <c r="V6"/>
      <c r="W6"/>
      <c r="X6"/>
      <c r="Y6"/>
      <c r="Z6"/>
      <c r="AA6"/>
      <c r="AB6"/>
      <c r="AC6"/>
      <c r="AD6"/>
      <c r="AE6"/>
      <c r="AF6"/>
      <c r="AG6"/>
      <c r="AH6"/>
      <c r="AI6"/>
      <c r="AJ6"/>
      <c r="AK6"/>
      <c r="AL6"/>
      <c r="AM6"/>
      <c r="AN6"/>
      <c r="AO6"/>
      <c r="AP6"/>
      <c r="AQ6"/>
      <c r="AR6"/>
      <c r="AS6"/>
      <c r="AT6"/>
      <c r="AU6"/>
      <c r="AV6"/>
      <c r="AW6"/>
      <c r="AX6"/>
      <c r="AY6"/>
      <c r="AZ6"/>
      <c r="BA6"/>
      <c r="BB6"/>
      <c r="BC6"/>
      <c r="BD6"/>
    </row>
    <row r="7" spans="1:56" s="8" customFormat="1" x14ac:dyDescent="0.25">
      <c r="A7" t="s">
        <v>143</v>
      </c>
      <c r="B7" t="s">
        <v>144</v>
      </c>
      <c r="C7" t="s">
        <v>34</v>
      </c>
      <c r="D7" t="s">
        <v>3</v>
      </c>
      <c r="E7" t="s">
        <v>30</v>
      </c>
      <c r="F7">
        <v>2300</v>
      </c>
      <c r="G7">
        <v>1200</v>
      </c>
      <c r="H7" t="s">
        <v>7</v>
      </c>
      <c r="I7">
        <v>3</v>
      </c>
      <c r="J7" t="s">
        <v>6</v>
      </c>
      <c r="K7" t="s">
        <v>7</v>
      </c>
      <c r="L7" t="s">
        <v>6</v>
      </c>
      <c r="M7" t="s">
        <v>8</v>
      </c>
      <c r="N7" t="s">
        <v>7</v>
      </c>
      <c r="O7" t="s">
        <v>18</v>
      </c>
      <c r="P7"/>
      <c r="Q7"/>
      <c r="R7"/>
      <c r="S7"/>
      <c r="T7"/>
      <c r="U7"/>
      <c r="V7"/>
      <c r="W7"/>
      <c r="X7"/>
      <c r="Y7"/>
      <c r="Z7"/>
      <c r="AA7"/>
      <c r="AB7"/>
      <c r="AC7"/>
      <c r="AD7"/>
      <c r="AE7"/>
      <c r="AF7"/>
      <c r="AG7"/>
      <c r="AH7"/>
      <c r="AI7"/>
      <c r="AJ7"/>
      <c r="AK7"/>
      <c r="AL7"/>
      <c r="AM7"/>
      <c r="AN7"/>
      <c r="AO7"/>
      <c r="AP7"/>
      <c r="AQ7"/>
      <c r="AR7"/>
      <c r="AS7"/>
      <c r="AT7"/>
      <c r="AU7"/>
      <c r="AV7"/>
      <c r="AW7"/>
      <c r="AX7"/>
      <c r="AY7"/>
      <c r="AZ7"/>
      <c r="BA7"/>
      <c r="BB7"/>
      <c r="BC7"/>
      <c r="BD7"/>
    </row>
    <row r="8" spans="1:56" s="8" customFormat="1" x14ac:dyDescent="0.25">
      <c r="A8" t="s">
        <v>151</v>
      </c>
      <c r="B8" t="s">
        <v>152</v>
      </c>
      <c r="C8" t="s">
        <v>153</v>
      </c>
      <c r="D8" t="s">
        <v>3</v>
      </c>
      <c r="E8" t="s">
        <v>155</v>
      </c>
      <c r="F8">
        <v>4000</v>
      </c>
      <c r="G8">
        <v>1250</v>
      </c>
      <c r="H8" t="s">
        <v>7</v>
      </c>
      <c r="I8">
        <v>5</v>
      </c>
      <c r="J8" t="s">
        <v>6</v>
      </c>
      <c r="K8" t="s">
        <v>7</v>
      </c>
      <c r="L8" t="s">
        <v>6</v>
      </c>
      <c r="M8" t="s">
        <v>17</v>
      </c>
      <c r="N8" t="s">
        <v>6</v>
      </c>
      <c r="O8" t="s">
        <v>37</v>
      </c>
      <c r="P8"/>
      <c r="Q8"/>
      <c r="R8"/>
      <c r="S8"/>
      <c r="T8"/>
      <c r="U8"/>
      <c r="V8"/>
      <c r="W8"/>
      <c r="X8"/>
      <c r="Y8"/>
      <c r="Z8"/>
      <c r="AA8"/>
      <c r="AB8"/>
      <c r="AC8"/>
      <c r="AD8"/>
      <c r="AE8"/>
      <c r="AF8"/>
      <c r="AG8"/>
      <c r="AH8"/>
      <c r="AI8"/>
      <c r="AJ8"/>
      <c r="AK8"/>
      <c r="AL8"/>
      <c r="AM8"/>
      <c r="AN8"/>
      <c r="AO8"/>
      <c r="AP8"/>
      <c r="AQ8"/>
      <c r="AR8"/>
      <c r="AS8"/>
      <c r="AT8"/>
      <c r="AU8"/>
      <c r="AV8"/>
      <c r="AW8"/>
      <c r="AX8"/>
      <c r="AY8"/>
      <c r="AZ8"/>
      <c r="BA8"/>
      <c r="BB8"/>
      <c r="BC8"/>
      <c r="BD8"/>
    </row>
    <row r="9" spans="1:56" s="8" customFormat="1" x14ac:dyDescent="0.25">
      <c r="A9" t="s">
        <v>157</v>
      </c>
      <c r="B9" t="s">
        <v>158</v>
      </c>
      <c r="C9" t="s">
        <v>34</v>
      </c>
      <c r="D9" t="s">
        <v>3</v>
      </c>
      <c r="E9" t="s">
        <v>160</v>
      </c>
      <c r="F9">
        <v>3381</v>
      </c>
      <c r="G9">
        <v>1200</v>
      </c>
      <c r="H9" t="s">
        <v>7</v>
      </c>
      <c r="I9">
        <v>5</v>
      </c>
      <c r="J9" t="s">
        <v>6</v>
      </c>
      <c r="K9" t="s">
        <v>7</v>
      </c>
      <c r="L9" t="s">
        <v>6</v>
      </c>
      <c r="M9" t="s">
        <v>17</v>
      </c>
      <c r="N9" t="s">
        <v>7</v>
      </c>
      <c r="O9" t="s">
        <v>37</v>
      </c>
      <c r="P9"/>
      <c r="Q9"/>
      <c r="R9"/>
      <c r="S9"/>
      <c r="T9"/>
      <c r="U9"/>
      <c r="V9"/>
      <c r="W9"/>
      <c r="X9"/>
      <c r="Y9"/>
      <c r="Z9"/>
      <c r="AA9"/>
      <c r="AB9"/>
      <c r="AC9"/>
      <c r="AD9"/>
      <c r="AE9"/>
      <c r="AF9"/>
      <c r="AG9"/>
      <c r="AH9"/>
      <c r="AI9"/>
      <c r="AJ9"/>
      <c r="AK9"/>
      <c r="AL9"/>
      <c r="AM9"/>
      <c r="AN9"/>
      <c r="AO9"/>
      <c r="AP9"/>
      <c r="AQ9"/>
      <c r="AR9"/>
      <c r="AS9"/>
      <c r="AT9"/>
      <c r="AU9"/>
      <c r="AV9"/>
      <c r="AW9"/>
      <c r="AX9"/>
      <c r="AY9"/>
      <c r="AZ9"/>
      <c r="BA9"/>
      <c r="BB9"/>
      <c r="BC9"/>
      <c r="BD9"/>
    </row>
    <row r="10" spans="1:56" s="8" customFormat="1" x14ac:dyDescent="0.25">
      <c r="A10" t="s">
        <v>44</v>
      </c>
      <c r="B10" t="s">
        <v>45</v>
      </c>
      <c r="C10" t="s">
        <v>46</v>
      </c>
      <c r="D10" t="s">
        <v>3</v>
      </c>
      <c r="E10" t="s">
        <v>48</v>
      </c>
      <c r="F10">
        <v>3200</v>
      </c>
      <c r="G10">
        <v>1200</v>
      </c>
      <c r="H10" t="s">
        <v>6</v>
      </c>
      <c r="I10">
        <v>3</v>
      </c>
      <c r="J10" t="s">
        <v>6</v>
      </c>
      <c r="K10" t="s">
        <v>7</v>
      </c>
      <c r="L10" t="s">
        <v>6</v>
      </c>
      <c r="M10" t="s">
        <v>17</v>
      </c>
      <c r="N10" t="s">
        <v>7</v>
      </c>
      <c r="O10" t="s">
        <v>25</v>
      </c>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row>
    <row r="11" spans="1:56" s="8" customFormat="1" x14ac:dyDescent="0.25">
      <c r="A11" t="s">
        <v>50</v>
      </c>
      <c r="B11" t="s">
        <v>51</v>
      </c>
      <c r="C11" t="s">
        <v>52</v>
      </c>
      <c r="D11" t="s">
        <v>3</v>
      </c>
      <c r="E11" t="s">
        <v>54</v>
      </c>
      <c r="F11">
        <v>1000</v>
      </c>
      <c r="G11">
        <v>1200</v>
      </c>
      <c r="H11" t="s">
        <v>6</v>
      </c>
      <c r="I11">
        <v>2</v>
      </c>
      <c r="J11" t="s">
        <v>6</v>
      </c>
      <c r="K11" t="s">
        <v>6</v>
      </c>
      <c r="L11" t="s">
        <v>6</v>
      </c>
      <c r="M11" t="s">
        <v>55</v>
      </c>
      <c r="N11" t="s">
        <v>7</v>
      </c>
      <c r="O11" t="s">
        <v>18</v>
      </c>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row>
    <row r="12" spans="1:56" s="8" customFormat="1" x14ac:dyDescent="0.25">
      <c r="A12" t="s">
        <v>57</v>
      </c>
      <c r="B12" t="s">
        <v>58</v>
      </c>
      <c r="C12" t="s">
        <v>22</v>
      </c>
      <c r="D12" t="s">
        <v>14</v>
      </c>
      <c r="E12" t="s">
        <v>60</v>
      </c>
      <c r="F12">
        <v>3600</v>
      </c>
      <c r="G12">
        <v>1200</v>
      </c>
      <c r="H12" t="s">
        <v>6</v>
      </c>
      <c r="I12">
        <v>2</v>
      </c>
      <c r="J12" t="s">
        <v>6</v>
      </c>
      <c r="K12" t="s">
        <v>6</v>
      </c>
      <c r="L12" t="s">
        <v>6</v>
      </c>
      <c r="M12" t="s">
        <v>17</v>
      </c>
      <c r="N12" t="s">
        <v>7</v>
      </c>
      <c r="O12" t="s">
        <v>18</v>
      </c>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row>
    <row r="13" spans="1:56" s="8" customFormat="1" x14ac:dyDescent="0.25">
      <c r="A13" t="s">
        <v>39</v>
      </c>
      <c r="B13" t="s">
        <v>40</v>
      </c>
      <c r="C13" t="s">
        <v>22</v>
      </c>
      <c r="D13" t="s">
        <v>14</v>
      </c>
      <c r="E13" t="s">
        <v>229</v>
      </c>
      <c r="F13">
        <v>2750</v>
      </c>
      <c r="G13">
        <v>1200</v>
      </c>
      <c r="H13" t="s">
        <v>6</v>
      </c>
      <c r="I13">
        <v>3</v>
      </c>
      <c r="J13" t="s">
        <v>6</v>
      </c>
      <c r="K13" t="s">
        <v>6</v>
      </c>
      <c r="L13" t="s">
        <v>6</v>
      </c>
      <c r="M13" t="s">
        <v>17</v>
      </c>
      <c r="N13" t="s">
        <v>7</v>
      </c>
      <c r="O13" t="s">
        <v>18</v>
      </c>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row>
    <row r="14" spans="1:56" s="8" customFormat="1" x14ac:dyDescent="0.25">
      <c r="A14" t="s">
        <v>67</v>
      </c>
      <c r="B14" t="s">
        <v>68</v>
      </c>
      <c r="C14" t="s">
        <v>13</v>
      </c>
      <c r="D14" t="s">
        <v>14</v>
      </c>
      <c r="E14" t="s">
        <v>70</v>
      </c>
      <c r="F14">
        <v>3100</v>
      </c>
      <c r="G14">
        <v>1200</v>
      </c>
      <c r="H14" t="s">
        <v>6</v>
      </c>
      <c r="I14">
        <v>3</v>
      </c>
      <c r="J14" t="s">
        <v>6</v>
      </c>
      <c r="K14" t="s">
        <v>7</v>
      </c>
      <c r="L14" t="s">
        <v>6</v>
      </c>
      <c r="M14" t="s">
        <v>17</v>
      </c>
      <c r="N14" t="s">
        <v>7</v>
      </c>
      <c r="O14" t="s">
        <v>25</v>
      </c>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row>
    <row r="15" spans="1:56" s="8" customFormat="1" x14ac:dyDescent="0.25">
      <c r="A15" t="s">
        <v>71</v>
      </c>
      <c r="B15" t="s">
        <v>72</v>
      </c>
      <c r="C15" t="s">
        <v>46</v>
      </c>
      <c r="D15" t="s">
        <v>3</v>
      </c>
      <c r="E15" t="s">
        <v>74</v>
      </c>
      <c r="F15">
        <v>3000</v>
      </c>
      <c r="G15">
        <v>1200</v>
      </c>
      <c r="H15" t="s">
        <v>6</v>
      </c>
      <c r="I15">
        <v>2</v>
      </c>
      <c r="J15" t="s">
        <v>6</v>
      </c>
      <c r="K15" t="s">
        <v>6</v>
      </c>
      <c r="L15" t="s">
        <v>7</v>
      </c>
      <c r="M15" t="s">
        <v>24</v>
      </c>
      <c r="N15" t="s">
        <v>7</v>
      </c>
      <c r="O15" t="s">
        <v>18</v>
      </c>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row>
    <row r="16" spans="1:56" s="8" customFormat="1" x14ac:dyDescent="0.25">
      <c r="A16" t="s">
        <v>167</v>
      </c>
      <c r="B16" t="s">
        <v>168</v>
      </c>
      <c r="C16" t="s">
        <v>34</v>
      </c>
      <c r="D16" t="s">
        <v>3</v>
      </c>
      <c r="E16" t="s">
        <v>170</v>
      </c>
      <c r="F16">
        <v>1400</v>
      </c>
      <c r="G16">
        <v>1300</v>
      </c>
      <c r="H16" t="s">
        <v>7</v>
      </c>
      <c r="I16">
        <v>4</v>
      </c>
      <c r="J16" t="s">
        <v>6</v>
      </c>
      <c r="K16" t="s">
        <v>7</v>
      </c>
      <c r="L16" t="s">
        <v>6</v>
      </c>
      <c r="M16" t="s">
        <v>17</v>
      </c>
      <c r="N16" t="s">
        <v>7</v>
      </c>
      <c r="O16" t="s">
        <v>37</v>
      </c>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row>
    <row r="17" spans="1:56" s="8" customFormat="1" x14ac:dyDescent="0.25">
      <c r="A17" t="s">
        <v>76</v>
      </c>
      <c r="B17" t="s">
        <v>77</v>
      </c>
      <c r="C17" t="s">
        <v>13</v>
      </c>
      <c r="D17" t="s">
        <v>14</v>
      </c>
      <c r="E17" t="s">
        <v>79</v>
      </c>
      <c r="F17">
        <v>3000</v>
      </c>
      <c r="G17">
        <v>1200</v>
      </c>
      <c r="H17" t="s">
        <v>6</v>
      </c>
      <c r="I17">
        <v>3</v>
      </c>
      <c r="J17" t="s">
        <v>6</v>
      </c>
      <c r="K17" t="s">
        <v>7</v>
      </c>
      <c r="L17" t="s">
        <v>6</v>
      </c>
      <c r="M17" t="s">
        <v>24</v>
      </c>
      <c r="N17" t="s">
        <v>7</v>
      </c>
      <c r="O17" t="s">
        <v>18</v>
      </c>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row>
    <row r="18" spans="1:56" s="8" customFormat="1" x14ac:dyDescent="0.25">
      <c r="A18" t="s">
        <v>172</v>
      </c>
      <c r="B18" t="s">
        <v>173</v>
      </c>
      <c r="C18" t="s">
        <v>46</v>
      </c>
      <c r="D18" t="s">
        <v>3</v>
      </c>
      <c r="E18" t="s">
        <v>79</v>
      </c>
      <c r="F18">
        <v>5000</v>
      </c>
      <c r="G18">
        <v>1200</v>
      </c>
      <c r="H18" t="s">
        <v>7</v>
      </c>
      <c r="I18">
        <v>4</v>
      </c>
      <c r="J18" t="s">
        <v>6</v>
      </c>
      <c r="K18" t="s">
        <v>7</v>
      </c>
      <c r="L18" t="s">
        <v>6</v>
      </c>
      <c r="M18" t="s">
        <v>24</v>
      </c>
      <c r="N18" t="s">
        <v>7</v>
      </c>
      <c r="O18" t="s">
        <v>37</v>
      </c>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row>
    <row r="19" spans="1:56" s="8" customFormat="1" x14ac:dyDescent="0.25">
      <c r="A19" t="s">
        <v>188</v>
      </c>
      <c r="B19" t="s">
        <v>189</v>
      </c>
      <c r="C19" t="s">
        <v>34</v>
      </c>
      <c r="D19" t="s">
        <v>3</v>
      </c>
      <c r="E19" t="s">
        <v>191</v>
      </c>
      <c r="F19">
        <v>7000</v>
      </c>
      <c r="G19">
        <v>1200</v>
      </c>
      <c r="H19" t="s">
        <v>7</v>
      </c>
      <c r="I19">
        <v>3</v>
      </c>
      <c r="J19" t="s">
        <v>6</v>
      </c>
      <c r="K19" t="s">
        <v>7</v>
      </c>
      <c r="L19" t="s">
        <v>7</v>
      </c>
      <c r="M19" t="s">
        <v>17</v>
      </c>
      <c r="N19" t="s">
        <v>7</v>
      </c>
      <c r="O19" t="s">
        <v>37</v>
      </c>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row>
    <row r="20" spans="1:56" s="8" customFormat="1" x14ac:dyDescent="0.25">
      <c r="A20" t="s">
        <v>193</v>
      </c>
      <c r="B20" t="s">
        <v>194</v>
      </c>
      <c r="C20" t="s">
        <v>184</v>
      </c>
      <c r="D20" t="s">
        <v>14</v>
      </c>
      <c r="E20" t="s">
        <v>196</v>
      </c>
      <c r="F20">
        <v>2400</v>
      </c>
      <c r="G20">
        <v>2400</v>
      </c>
      <c r="H20" t="s">
        <v>7</v>
      </c>
      <c r="I20">
        <v>5</v>
      </c>
      <c r="J20" t="s">
        <v>6</v>
      </c>
      <c r="K20" t="s">
        <v>7</v>
      </c>
      <c r="L20" t="s">
        <v>6</v>
      </c>
      <c r="M20" t="s">
        <v>24</v>
      </c>
      <c r="N20" t="s">
        <v>6</v>
      </c>
      <c r="O20" t="s">
        <v>37</v>
      </c>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row>
    <row r="21" spans="1:56" s="8" customFormat="1" x14ac:dyDescent="0.25">
      <c r="A21" t="s">
        <v>198</v>
      </c>
      <c r="B21" t="s">
        <v>199</v>
      </c>
      <c r="C21" t="s">
        <v>34</v>
      </c>
      <c r="D21" t="s">
        <v>3</v>
      </c>
      <c r="E21" t="s">
        <v>201</v>
      </c>
      <c r="F21">
        <v>2823</v>
      </c>
      <c r="G21">
        <v>1200</v>
      </c>
      <c r="H21" t="s">
        <v>7</v>
      </c>
      <c r="I21">
        <v>3</v>
      </c>
      <c r="J21" t="s">
        <v>6</v>
      </c>
      <c r="K21" t="s">
        <v>7</v>
      </c>
      <c r="L21" t="s">
        <v>6</v>
      </c>
      <c r="M21" t="s">
        <v>17</v>
      </c>
      <c r="N21" t="s">
        <v>7</v>
      </c>
      <c r="O21" t="s">
        <v>18</v>
      </c>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row>
    <row r="22" spans="1:56" s="8" customFormat="1" x14ac:dyDescent="0.25">
      <c r="A22" t="s">
        <v>203</v>
      </c>
      <c r="B22" t="s">
        <v>204</v>
      </c>
      <c r="C22" t="s">
        <v>22</v>
      </c>
      <c r="D22" t="s">
        <v>14</v>
      </c>
      <c r="E22" t="s">
        <v>201</v>
      </c>
      <c r="F22">
        <v>3100</v>
      </c>
      <c r="G22">
        <v>1200</v>
      </c>
      <c r="H22" t="s">
        <v>7</v>
      </c>
      <c r="I22">
        <v>3</v>
      </c>
      <c r="J22" t="s">
        <v>6</v>
      </c>
      <c r="K22" t="s">
        <v>7</v>
      </c>
      <c r="L22" t="s">
        <v>6</v>
      </c>
      <c r="M22" t="s">
        <v>24</v>
      </c>
      <c r="N22" t="s">
        <v>7</v>
      </c>
      <c r="O22" t="s">
        <v>18</v>
      </c>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row>
    <row r="23" spans="1:56" s="8" customFormat="1" x14ac:dyDescent="0.25">
      <c r="A23" t="s">
        <v>207</v>
      </c>
      <c r="B23" t="s">
        <v>208</v>
      </c>
      <c r="C23" t="s">
        <v>22</v>
      </c>
      <c r="D23" t="s">
        <v>14</v>
      </c>
      <c r="E23" t="s">
        <v>201</v>
      </c>
      <c r="F23">
        <v>1800</v>
      </c>
      <c r="G23">
        <v>1200</v>
      </c>
      <c r="H23" t="s">
        <v>7</v>
      </c>
      <c r="I23">
        <v>4</v>
      </c>
      <c r="J23" t="s">
        <v>6</v>
      </c>
      <c r="K23" t="s">
        <v>7</v>
      </c>
      <c r="L23" t="s">
        <v>7</v>
      </c>
      <c r="M23" t="s">
        <v>24</v>
      </c>
      <c r="N23" t="s">
        <v>7</v>
      </c>
      <c r="O23" t="s">
        <v>18</v>
      </c>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row>
    <row r="24" spans="1:56" s="8" customFormat="1" x14ac:dyDescent="0.25">
      <c r="A24" t="s">
        <v>220</v>
      </c>
      <c r="B24" t="s">
        <v>221</v>
      </c>
      <c r="C24" t="s">
        <v>178</v>
      </c>
      <c r="D24" t="s">
        <v>14</v>
      </c>
      <c r="E24" t="s">
        <v>94</v>
      </c>
      <c r="F24">
        <v>1950</v>
      </c>
      <c r="G24">
        <v>1200</v>
      </c>
      <c r="H24" t="s">
        <v>7</v>
      </c>
      <c r="I24">
        <v>1</v>
      </c>
      <c r="J24" t="s">
        <v>6</v>
      </c>
      <c r="K24" t="s">
        <v>7</v>
      </c>
      <c r="L24" t="s">
        <v>7</v>
      </c>
      <c r="M24" t="s">
        <v>24</v>
      </c>
      <c r="N24" t="s">
        <v>6</v>
      </c>
      <c r="O24" t="s">
        <v>9</v>
      </c>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row>
    <row r="25" spans="1:56" s="8" customFormat="1" x14ac:dyDescent="0.25">
      <c r="A25" t="s">
        <v>96</v>
      </c>
      <c r="B25" t="s">
        <v>97</v>
      </c>
      <c r="C25" t="s">
        <v>13</v>
      </c>
      <c r="D25" t="s">
        <v>14</v>
      </c>
      <c r="E25" t="s">
        <v>99</v>
      </c>
      <c r="F25">
        <v>2400</v>
      </c>
      <c r="G25">
        <v>1200</v>
      </c>
      <c r="H25" t="s">
        <v>6</v>
      </c>
      <c r="I25">
        <v>3</v>
      </c>
      <c r="J25" t="s">
        <v>6</v>
      </c>
      <c r="K25" t="s">
        <v>7</v>
      </c>
      <c r="L25" t="s">
        <v>6</v>
      </c>
      <c r="M25" t="s">
        <v>24</v>
      </c>
      <c r="N25" t="s">
        <v>7</v>
      </c>
      <c r="O25" t="s">
        <v>37</v>
      </c>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row>
    <row r="26" spans="1:56" s="8" customFormat="1" x14ac:dyDescent="0.25">
      <c r="A26" t="s">
        <v>0</v>
      </c>
      <c r="B26" t="s">
        <v>1</v>
      </c>
      <c r="C26" t="s">
        <v>2</v>
      </c>
      <c r="D26" t="s">
        <v>3</v>
      </c>
      <c r="E26" t="s">
        <v>5</v>
      </c>
      <c r="F26">
        <v>12500</v>
      </c>
      <c r="G26">
        <v>1200</v>
      </c>
      <c r="H26" t="s">
        <v>6</v>
      </c>
      <c r="I26">
        <v>1</v>
      </c>
      <c r="J26" t="s">
        <v>7</v>
      </c>
      <c r="K26" t="s">
        <v>7</v>
      </c>
      <c r="L26" t="s">
        <v>7</v>
      </c>
      <c r="M26" t="s">
        <v>8</v>
      </c>
      <c r="N26" t="s">
        <v>7</v>
      </c>
      <c r="O26" t="s">
        <v>9</v>
      </c>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row>
    <row r="27" spans="1:56" s="8" customFormat="1" x14ac:dyDescent="0.25">
      <c r="A27" t="s">
        <v>11</v>
      </c>
      <c r="B27" t="s">
        <v>12</v>
      </c>
      <c r="C27" t="s">
        <v>13</v>
      </c>
      <c r="D27" t="s">
        <v>14</v>
      </c>
      <c r="E27" t="s">
        <v>16</v>
      </c>
      <c r="F27">
        <v>4750</v>
      </c>
      <c r="G27">
        <v>1200</v>
      </c>
      <c r="H27" t="s">
        <v>6</v>
      </c>
      <c r="I27">
        <v>3</v>
      </c>
      <c r="J27" t="s">
        <v>7</v>
      </c>
      <c r="K27" t="s">
        <v>7</v>
      </c>
      <c r="L27" t="s">
        <v>6</v>
      </c>
      <c r="M27" t="s">
        <v>17</v>
      </c>
      <c r="N27" t="s">
        <v>7</v>
      </c>
      <c r="O27" t="s">
        <v>18</v>
      </c>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row>
    <row r="28" spans="1:56" s="8" customFormat="1" x14ac:dyDescent="0.25">
      <c r="A28" t="s">
        <v>20</v>
      </c>
      <c r="B28" t="s">
        <v>21</v>
      </c>
      <c r="C28" t="s">
        <v>22</v>
      </c>
      <c r="D28" t="s">
        <v>14</v>
      </c>
      <c r="E28" t="s">
        <v>16</v>
      </c>
      <c r="F28">
        <v>2640</v>
      </c>
      <c r="G28">
        <v>1200</v>
      </c>
      <c r="H28" t="s">
        <v>6</v>
      </c>
      <c r="I28">
        <v>2</v>
      </c>
      <c r="J28" t="s">
        <v>7</v>
      </c>
      <c r="K28" t="s">
        <v>6</v>
      </c>
      <c r="L28" t="s">
        <v>7</v>
      </c>
      <c r="M28" t="s">
        <v>24</v>
      </c>
      <c r="N28" t="s">
        <v>7</v>
      </c>
      <c r="O28" t="s">
        <v>25</v>
      </c>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row>
    <row r="29" spans="1:56" s="8" customFormat="1" x14ac:dyDescent="0.25">
      <c r="A29" t="s">
        <v>138</v>
      </c>
      <c r="B29" t="s">
        <v>139</v>
      </c>
      <c r="C29" t="s">
        <v>34</v>
      </c>
      <c r="D29" t="s">
        <v>3</v>
      </c>
      <c r="E29" t="s">
        <v>141</v>
      </c>
      <c r="F29">
        <v>3000</v>
      </c>
      <c r="G29">
        <v>1200</v>
      </c>
      <c r="H29" t="s">
        <v>7</v>
      </c>
      <c r="I29">
        <v>4</v>
      </c>
      <c r="J29" t="s">
        <v>7</v>
      </c>
      <c r="K29" t="s">
        <v>6</v>
      </c>
      <c r="L29" t="s">
        <v>6</v>
      </c>
      <c r="M29" t="s">
        <v>24</v>
      </c>
      <c r="N29" t="s">
        <v>7</v>
      </c>
      <c r="O29" t="s">
        <v>37</v>
      </c>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row>
    <row r="30" spans="1:56" s="8" customFormat="1" x14ac:dyDescent="0.25">
      <c r="A30" t="s">
        <v>147</v>
      </c>
      <c r="B30" t="s">
        <v>148</v>
      </c>
      <c r="C30" t="s">
        <v>22</v>
      </c>
      <c r="D30" t="s">
        <v>14</v>
      </c>
      <c r="E30" t="s">
        <v>30</v>
      </c>
      <c r="F30">
        <v>1130</v>
      </c>
      <c r="G30">
        <v>1200</v>
      </c>
      <c r="H30" t="s">
        <v>7</v>
      </c>
      <c r="I30">
        <v>4</v>
      </c>
      <c r="J30" t="s">
        <v>7</v>
      </c>
      <c r="K30" t="s">
        <v>6</v>
      </c>
      <c r="L30" t="s">
        <v>7</v>
      </c>
      <c r="M30" t="s">
        <v>17</v>
      </c>
      <c r="N30" t="s">
        <v>7</v>
      </c>
      <c r="O30" t="s">
        <v>18</v>
      </c>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row>
    <row r="31" spans="1:56" s="8" customFormat="1" x14ac:dyDescent="0.25">
      <c r="A31" t="s">
        <v>32</v>
      </c>
      <c r="B31" t="s">
        <v>33</v>
      </c>
      <c r="C31" t="s">
        <v>34</v>
      </c>
      <c r="D31" t="s">
        <v>3</v>
      </c>
      <c r="E31" t="s">
        <v>36</v>
      </c>
      <c r="F31">
        <v>4575</v>
      </c>
      <c r="G31">
        <v>1200</v>
      </c>
      <c r="H31" t="s">
        <v>6</v>
      </c>
      <c r="I31">
        <v>2</v>
      </c>
      <c r="J31" t="s">
        <v>7</v>
      </c>
      <c r="K31" t="s">
        <v>7</v>
      </c>
      <c r="L31" t="s">
        <v>6</v>
      </c>
      <c r="M31" t="s">
        <v>17</v>
      </c>
      <c r="N31" t="s">
        <v>6</v>
      </c>
      <c r="O31" t="s">
        <v>37</v>
      </c>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row>
    <row r="32" spans="1:56" s="8" customFormat="1" x14ac:dyDescent="0.25">
      <c r="A32" t="s">
        <v>161</v>
      </c>
      <c r="B32" t="s">
        <v>162</v>
      </c>
      <c r="C32" t="s">
        <v>163</v>
      </c>
      <c r="D32" t="s">
        <v>14</v>
      </c>
      <c r="E32" t="s">
        <v>165</v>
      </c>
      <c r="F32">
        <v>1450</v>
      </c>
      <c r="G32">
        <v>950</v>
      </c>
      <c r="H32" t="s">
        <v>7</v>
      </c>
      <c r="I32">
        <v>3</v>
      </c>
      <c r="J32" t="s">
        <v>7</v>
      </c>
      <c r="K32" t="s">
        <v>7</v>
      </c>
      <c r="L32" t="s">
        <v>7</v>
      </c>
      <c r="M32" t="s">
        <v>24</v>
      </c>
      <c r="N32" t="s">
        <v>6</v>
      </c>
      <c r="O32" t="s">
        <v>18</v>
      </c>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row>
    <row r="33" spans="1:56" s="8" customFormat="1" x14ac:dyDescent="0.25">
      <c r="A33" t="s">
        <v>62</v>
      </c>
      <c r="B33" t="s">
        <v>63</v>
      </c>
      <c r="C33" t="s">
        <v>34</v>
      </c>
      <c r="D33" t="s">
        <v>3</v>
      </c>
      <c r="E33" t="s">
        <v>65</v>
      </c>
      <c r="F33">
        <v>2200</v>
      </c>
      <c r="G33">
        <v>1200</v>
      </c>
      <c r="H33" t="s">
        <v>6</v>
      </c>
      <c r="I33">
        <v>2</v>
      </c>
      <c r="J33" t="s">
        <v>7</v>
      </c>
      <c r="K33" t="s">
        <v>7</v>
      </c>
      <c r="L33" t="s">
        <v>7</v>
      </c>
      <c r="M33" t="s">
        <v>8</v>
      </c>
      <c r="N33" t="s">
        <v>7</v>
      </c>
      <c r="O33" t="s">
        <v>25</v>
      </c>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row>
    <row r="34" spans="1:56" s="8" customFormat="1" x14ac:dyDescent="0.25">
      <c r="A34" t="s">
        <v>176</v>
      </c>
      <c r="B34" t="s">
        <v>177</v>
      </c>
      <c r="C34" t="s">
        <v>178</v>
      </c>
      <c r="D34" t="s">
        <v>14</v>
      </c>
      <c r="E34" t="s">
        <v>180</v>
      </c>
      <c r="F34">
        <v>6000</v>
      </c>
      <c r="G34">
        <v>1200</v>
      </c>
      <c r="H34" t="s">
        <v>7</v>
      </c>
      <c r="I34">
        <v>4</v>
      </c>
      <c r="J34" t="s">
        <v>7</v>
      </c>
      <c r="K34" t="s">
        <v>7</v>
      </c>
      <c r="L34" t="s">
        <v>6</v>
      </c>
      <c r="M34" t="s">
        <v>17</v>
      </c>
      <c r="N34" t="s">
        <v>6</v>
      </c>
      <c r="O34" t="s">
        <v>18</v>
      </c>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row>
    <row r="35" spans="1:56" s="8" customFormat="1" x14ac:dyDescent="0.25">
      <c r="A35" t="s">
        <v>182</v>
      </c>
      <c r="B35" t="s">
        <v>183</v>
      </c>
      <c r="C35" t="s">
        <v>184</v>
      </c>
      <c r="D35" t="s">
        <v>14</v>
      </c>
      <c r="E35" t="s">
        <v>186</v>
      </c>
      <c r="F35">
        <v>2570</v>
      </c>
      <c r="G35">
        <v>1300</v>
      </c>
      <c r="H35" t="s">
        <v>7</v>
      </c>
      <c r="I35">
        <v>4</v>
      </c>
      <c r="J35" t="s">
        <v>7</v>
      </c>
      <c r="K35" t="s">
        <v>6</v>
      </c>
      <c r="L35" t="s">
        <v>7</v>
      </c>
      <c r="M35" t="s">
        <v>24</v>
      </c>
      <c r="N35" t="s">
        <v>7</v>
      </c>
      <c r="O35" t="s">
        <v>25</v>
      </c>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row>
    <row r="36" spans="1:56" s="8" customFormat="1" x14ac:dyDescent="0.25">
      <c r="A36" t="s">
        <v>81</v>
      </c>
      <c r="B36" t="s">
        <v>82</v>
      </c>
      <c r="C36" t="s">
        <v>13</v>
      </c>
      <c r="D36" t="s">
        <v>14</v>
      </c>
      <c r="E36" t="s">
        <v>84</v>
      </c>
      <c r="F36">
        <v>2430</v>
      </c>
      <c r="G36">
        <v>1200</v>
      </c>
      <c r="H36" t="s">
        <v>6</v>
      </c>
      <c r="I36">
        <v>2</v>
      </c>
      <c r="J36" t="s">
        <v>7</v>
      </c>
      <c r="K36" t="s">
        <v>6</v>
      </c>
      <c r="L36" t="s">
        <v>6</v>
      </c>
      <c r="M36" t="s">
        <v>17</v>
      </c>
      <c r="N36" t="s">
        <v>6</v>
      </c>
      <c r="O36" t="s">
        <v>18</v>
      </c>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row>
    <row r="37" spans="1:56" s="8" customFormat="1" x14ac:dyDescent="0.25">
      <c r="A37" t="s">
        <v>86</v>
      </c>
      <c r="B37" t="s">
        <v>87</v>
      </c>
      <c r="C37" t="s">
        <v>13</v>
      </c>
      <c r="D37" t="s">
        <v>14</v>
      </c>
      <c r="E37" t="s">
        <v>89</v>
      </c>
      <c r="F37">
        <v>3200</v>
      </c>
      <c r="G37">
        <v>1200</v>
      </c>
      <c r="H37" t="s">
        <v>6</v>
      </c>
      <c r="I37">
        <v>3</v>
      </c>
      <c r="J37" t="s">
        <v>7</v>
      </c>
      <c r="K37" t="s">
        <v>7</v>
      </c>
      <c r="L37" t="s">
        <v>7</v>
      </c>
      <c r="M37" t="s">
        <v>24</v>
      </c>
      <c r="N37" t="s">
        <v>7</v>
      </c>
      <c r="O37" t="s">
        <v>18</v>
      </c>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row>
    <row r="38" spans="1:56" s="8" customFormat="1" x14ac:dyDescent="0.25">
      <c r="A38" t="s">
        <v>211</v>
      </c>
      <c r="B38" t="s">
        <v>212</v>
      </c>
      <c r="C38" t="s">
        <v>13</v>
      </c>
      <c r="D38" t="s">
        <v>14</v>
      </c>
      <c r="E38" t="s">
        <v>214</v>
      </c>
      <c r="F38">
        <v>4490</v>
      </c>
      <c r="G38">
        <v>1200</v>
      </c>
      <c r="H38" t="s">
        <v>7</v>
      </c>
      <c r="I38">
        <v>4</v>
      </c>
      <c r="J38" t="s">
        <v>7</v>
      </c>
      <c r="K38" t="s">
        <v>7</v>
      </c>
      <c r="L38" t="s">
        <v>6</v>
      </c>
      <c r="M38" t="s">
        <v>17</v>
      </c>
      <c r="N38" t="s">
        <v>6</v>
      </c>
      <c r="O38" t="s">
        <v>37</v>
      </c>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row>
    <row r="39" spans="1:56" s="8" customFormat="1" x14ac:dyDescent="0.25">
      <c r="A39" t="s">
        <v>91</v>
      </c>
      <c r="B39" t="s">
        <v>92</v>
      </c>
      <c r="C39" t="s">
        <v>22</v>
      </c>
      <c r="D39" t="s">
        <v>14</v>
      </c>
      <c r="E39" t="s">
        <v>94</v>
      </c>
      <c r="F39">
        <v>3700</v>
      </c>
      <c r="G39">
        <v>1200</v>
      </c>
      <c r="H39" t="s">
        <v>6</v>
      </c>
      <c r="I39">
        <v>2</v>
      </c>
      <c r="J39" t="s">
        <v>7</v>
      </c>
      <c r="K39" t="s">
        <v>6</v>
      </c>
      <c r="L39" t="s">
        <v>7</v>
      </c>
      <c r="M39" t="s">
        <v>24</v>
      </c>
      <c r="N39" t="s">
        <v>7</v>
      </c>
      <c r="O39" t="s">
        <v>25</v>
      </c>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row>
    <row r="40" spans="1:56" s="8" customFormat="1" x14ac:dyDescent="0.25">
      <c r="A40" t="s">
        <v>216</v>
      </c>
      <c r="B40" t="s">
        <v>217</v>
      </c>
      <c r="C40" t="s">
        <v>22</v>
      </c>
      <c r="D40" t="s">
        <v>14</v>
      </c>
      <c r="E40" t="s">
        <v>94</v>
      </c>
      <c r="F40">
        <v>3000</v>
      </c>
      <c r="G40">
        <v>1200</v>
      </c>
      <c r="H40" t="s">
        <v>7</v>
      </c>
      <c r="I40">
        <v>3</v>
      </c>
      <c r="J40" t="s">
        <v>7</v>
      </c>
      <c r="K40" t="s">
        <v>7</v>
      </c>
      <c r="L40" t="s">
        <v>7</v>
      </c>
      <c r="M40" t="s">
        <v>17</v>
      </c>
      <c r="N40" t="s">
        <v>7</v>
      </c>
      <c r="O40" t="s">
        <v>18</v>
      </c>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row>
    <row r="41" spans="1:56" s="8" customFormat="1" x14ac:dyDescent="0.25">
      <c r="A41" t="s">
        <v>101</v>
      </c>
      <c r="B41" t="s">
        <v>102</v>
      </c>
      <c r="C41" t="s">
        <v>22</v>
      </c>
      <c r="D41" t="s">
        <v>14</v>
      </c>
      <c r="E41" t="s">
        <v>104</v>
      </c>
      <c r="F41">
        <v>3410</v>
      </c>
      <c r="G41">
        <v>1200</v>
      </c>
      <c r="H41" t="s">
        <v>6</v>
      </c>
      <c r="I41">
        <v>2</v>
      </c>
      <c r="J41" t="s">
        <v>7</v>
      </c>
      <c r="K41" t="s">
        <v>7</v>
      </c>
      <c r="L41" t="s">
        <v>6</v>
      </c>
      <c r="M41" t="s">
        <v>24</v>
      </c>
      <c r="N41" t="s">
        <v>6</v>
      </c>
      <c r="O41" t="s">
        <v>18</v>
      </c>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row>
    <row r="42" spans="1:56" s="8" customFormat="1" x14ac:dyDescent="0.25">
      <c r="A42" t="s">
        <v>106</v>
      </c>
      <c r="B42" t="s">
        <v>107</v>
      </c>
      <c r="C42" t="s">
        <v>22</v>
      </c>
      <c r="D42" t="s">
        <v>14</v>
      </c>
      <c r="E42" t="s">
        <v>109</v>
      </c>
      <c r="F42">
        <v>7000</v>
      </c>
      <c r="G42">
        <v>1200</v>
      </c>
      <c r="H42" t="s">
        <v>6</v>
      </c>
      <c r="I42">
        <v>1</v>
      </c>
      <c r="J42" t="s">
        <v>7</v>
      </c>
      <c r="K42" t="s">
        <v>7</v>
      </c>
      <c r="L42" t="s">
        <v>7</v>
      </c>
      <c r="M42" t="s">
        <v>8</v>
      </c>
      <c r="N42" t="s">
        <v>6</v>
      </c>
      <c r="O42" t="s">
        <v>25</v>
      </c>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row>
    <row r="43" spans="1:56" s="8" customFormat="1" x14ac:dyDescent="0.25">
      <c r="A43" t="s">
        <v>224</v>
      </c>
      <c r="B43" t="s">
        <v>225</v>
      </c>
      <c r="C43" t="s">
        <v>34</v>
      </c>
      <c r="D43" t="s">
        <v>3</v>
      </c>
      <c r="E43" t="s">
        <v>227</v>
      </c>
      <c r="F43">
        <v>2300</v>
      </c>
      <c r="G43">
        <v>1200</v>
      </c>
      <c r="H43" t="s">
        <v>7</v>
      </c>
      <c r="I43">
        <v>3</v>
      </c>
      <c r="J43" t="s">
        <v>7</v>
      </c>
      <c r="K43" t="s">
        <v>6</v>
      </c>
      <c r="L43" t="s">
        <v>6</v>
      </c>
      <c r="M43" t="s">
        <v>8</v>
      </c>
      <c r="N43" t="s">
        <v>7</v>
      </c>
      <c r="O43" t="s">
        <v>18</v>
      </c>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row>
    <row r="44" spans="1:56" s="8" customFormat="1" x14ac:dyDescent="0.25">
      <c r="A44" t="s">
        <v>111</v>
      </c>
      <c r="B44" t="s">
        <v>112</v>
      </c>
      <c r="C44" t="s">
        <v>22</v>
      </c>
      <c r="D44" t="s">
        <v>14</v>
      </c>
      <c r="E44" t="s">
        <v>114</v>
      </c>
      <c r="F44">
        <v>10000</v>
      </c>
      <c r="G44">
        <v>1200</v>
      </c>
      <c r="H44" t="s">
        <v>6</v>
      </c>
      <c r="I44">
        <v>3</v>
      </c>
      <c r="J44" t="s">
        <v>7</v>
      </c>
      <c r="K44" t="s">
        <v>6</v>
      </c>
      <c r="L44" t="s">
        <v>7</v>
      </c>
      <c r="M44" t="s">
        <v>24</v>
      </c>
      <c r="N44" t="s">
        <v>7</v>
      </c>
      <c r="O44" t="s">
        <v>25</v>
      </c>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row>
    <row r="120" spans="3:3" x14ac:dyDescent="0.25">
      <c r="C120" s="5" t="s">
        <v>14</v>
      </c>
    </row>
  </sheetData>
  <sortState xmlns:xlrd2="http://schemas.microsoft.com/office/spreadsheetml/2017/richdata2" ref="M57:M99">
    <sortCondition ref="M57:M99"/>
  </sortState>
  <phoneticPr fontId="3"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B36F7-F2CF-4A69-8F1F-570583461C13}">
  <dimension ref="A1:LO45"/>
  <sheetViews>
    <sheetView zoomScale="70" zoomScaleNormal="70" workbookViewId="0">
      <selection activeCell="L24" sqref="L24"/>
    </sheetView>
  </sheetViews>
  <sheetFormatPr defaultRowHeight="15" x14ac:dyDescent="0.25"/>
  <cols>
    <col min="1" max="1" width="22.7109375" customWidth="1"/>
    <col min="2" max="2" width="20.5703125" bestFit="1" customWidth="1"/>
    <col min="3" max="3" width="16.42578125" bestFit="1" customWidth="1"/>
    <col min="6" max="6" width="14" customWidth="1"/>
    <col min="7" max="7" width="17.7109375" customWidth="1"/>
  </cols>
  <sheetData>
    <row r="1" spans="1:327" x14ac:dyDescent="0.25">
      <c r="A1" t="s">
        <v>285</v>
      </c>
      <c r="B1" t="s">
        <v>286</v>
      </c>
      <c r="C1" t="s">
        <v>287</v>
      </c>
      <c r="E1" s="25" t="s">
        <v>276</v>
      </c>
      <c r="F1" s="25"/>
    </row>
    <row r="2" spans="1:327" s="2" customFormat="1" ht="14.25" customHeight="1" x14ac:dyDescent="0.25">
      <c r="A2" s="17">
        <v>0.50069444444670808</v>
      </c>
      <c r="B2" s="17">
        <v>0.75486111111111109</v>
      </c>
      <c r="C2" s="18" t="s">
        <v>6</v>
      </c>
      <c r="D2"/>
      <c r="E2" s="21" t="s">
        <v>7</v>
      </c>
      <c r="F2" s="21">
        <v>21</v>
      </c>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row>
    <row r="3" spans="1:327" x14ac:dyDescent="0.25">
      <c r="A3" s="17">
        <v>0.5</v>
      </c>
      <c r="B3" s="17">
        <v>0.79166666666666663</v>
      </c>
      <c r="C3" s="18" t="s">
        <v>7</v>
      </c>
      <c r="E3" s="21" t="s">
        <v>6</v>
      </c>
      <c r="F3" s="21">
        <v>22</v>
      </c>
    </row>
    <row r="4" spans="1:327" s="2" customFormat="1" x14ac:dyDescent="0.25">
      <c r="A4" s="17">
        <v>0.50694444444525288</v>
      </c>
      <c r="B4" s="17">
        <v>0.74652777778101154</v>
      </c>
      <c r="C4" s="18" t="s">
        <v>6</v>
      </c>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row>
    <row r="5" spans="1:327" x14ac:dyDescent="0.25">
      <c r="A5" s="17">
        <v>0.45902777777519077</v>
      </c>
      <c r="B5" s="17">
        <v>0.75555555555555554</v>
      </c>
      <c r="C5" s="18" t="s">
        <v>7</v>
      </c>
    </row>
    <row r="6" spans="1:327" s="2" customFormat="1" x14ac:dyDescent="0.25">
      <c r="A6" s="17">
        <v>0.47916666666666669</v>
      </c>
      <c r="B6" s="17">
        <v>0.77083333333333337</v>
      </c>
      <c r="C6" s="18" t="s">
        <v>7</v>
      </c>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row>
    <row r="7" spans="1:327" x14ac:dyDescent="0.25">
      <c r="A7" s="17">
        <v>0.45833333333575865</v>
      </c>
      <c r="B7" s="17">
        <v>0.76041666666424135</v>
      </c>
      <c r="C7" s="18" t="s">
        <v>7</v>
      </c>
    </row>
    <row r="8" spans="1:327" s="2" customFormat="1" x14ac:dyDescent="0.25">
      <c r="A8" s="17">
        <v>0.29166666666424135</v>
      </c>
      <c r="B8" s="17">
        <v>0.75</v>
      </c>
      <c r="C8" s="18" t="s">
        <v>7</v>
      </c>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row>
    <row r="9" spans="1:327" x14ac:dyDescent="0.25">
      <c r="A9" s="17">
        <v>0.3125</v>
      </c>
      <c r="B9" s="17">
        <v>0.75</v>
      </c>
      <c r="C9" s="18" t="s">
        <v>6</v>
      </c>
    </row>
    <row r="10" spans="1:327" s="2" customFormat="1" x14ac:dyDescent="0.25">
      <c r="A10" s="17">
        <v>0.47222222221898846</v>
      </c>
      <c r="B10" s="17">
        <v>0.75</v>
      </c>
      <c r="C10" s="18" t="s">
        <v>7</v>
      </c>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row>
    <row r="11" spans="1:327" x14ac:dyDescent="0.25">
      <c r="A11" s="17">
        <v>0.47916666666424135</v>
      </c>
      <c r="B11" s="17">
        <v>0.77083333333575865</v>
      </c>
      <c r="C11" s="18" t="s">
        <v>6</v>
      </c>
    </row>
    <row r="12" spans="1:327" s="2" customFormat="1" x14ac:dyDescent="0.25">
      <c r="A12" s="17">
        <v>0.45833333333575865</v>
      </c>
      <c r="B12" s="17">
        <v>0.75</v>
      </c>
      <c r="C12" s="18" t="s">
        <v>6</v>
      </c>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row>
    <row r="13" spans="1:327" x14ac:dyDescent="0.25">
      <c r="A13" s="17">
        <v>0.47916666666424135</v>
      </c>
      <c r="B13" s="17">
        <v>0.66666666666666696</v>
      </c>
      <c r="C13" s="18" t="s">
        <v>7</v>
      </c>
    </row>
    <row r="14" spans="1:327" s="2" customFormat="1" x14ac:dyDescent="0.25">
      <c r="A14" s="17">
        <v>0.47916666666666669</v>
      </c>
      <c r="B14" s="17">
        <v>0.77083333333333337</v>
      </c>
      <c r="C14" s="18" t="s">
        <v>7</v>
      </c>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row>
    <row r="15" spans="1:327" x14ac:dyDescent="0.25">
      <c r="A15" s="17">
        <v>0.27083333333575865</v>
      </c>
      <c r="B15" s="17">
        <v>0.75</v>
      </c>
      <c r="C15" s="18" t="s">
        <v>6</v>
      </c>
    </row>
    <row r="16" spans="1:327" s="2" customFormat="1" x14ac:dyDescent="0.25">
      <c r="A16" s="17">
        <v>0.29791666666278616</v>
      </c>
      <c r="B16" s="17">
        <v>0.75486111111111109</v>
      </c>
      <c r="C16" s="18" t="s">
        <v>7</v>
      </c>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row>
    <row r="17" spans="1:327" x14ac:dyDescent="0.25">
      <c r="A17" s="17">
        <v>0.45902777777519077</v>
      </c>
      <c r="B17" s="17">
        <v>0.83333333333333337</v>
      </c>
      <c r="C17" s="18" t="s">
        <v>6</v>
      </c>
    </row>
    <row r="18" spans="1:327" s="2" customFormat="1" x14ac:dyDescent="0.25">
      <c r="A18" s="17">
        <v>0.47916666666424135</v>
      </c>
      <c r="B18" s="17">
        <v>0.75</v>
      </c>
      <c r="C18" s="18" t="s">
        <v>7</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row>
    <row r="19" spans="1:327" x14ac:dyDescent="0.25">
      <c r="A19" s="17">
        <v>0.25</v>
      </c>
      <c r="B19" s="17">
        <v>0.875</v>
      </c>
      <c r="C19" s="18" t="s">
        <v>6</v>
      </c>
    </row>
    <row r="20" spans="1:327" s="2" customFormat="1" x14ac:dyDescent="0.25">
      <c r="A20" s="17">
        <v>0.47916666666424135</v>
      </c>
      <c r="B20" s="17">
        <v>0.76041666666424135</v>
      </c>
      <c r="C20" s="18" t="s">
        <v>6</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row>
    <row r="21" spans="1:327" x14ac:dyDescent="0.25">
      <c r="A21" s="17">
        <v>0.47916666666424135</v>
      </c>
      <c r="B21" s="17">
        <v>0.75</v>
      </c>
      <c r="C21" s="18" t="s">
        <v>6</v>
      </c>
    </row>
    <row r="22" spans="1:327" s="2" customFormat="1" x14ac:dyDescent="0.25">
      <c r="A22" s="17">
        <v>0.5</v>
      </c>
      <c r="B22" s="17">
        <v>0.75</v>
      </c>
      <c r="C22" s="18" t="s">
        <v>6</v>
      </c>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row>
    <row r="23" spans="1:327" x14ac:dyDescent="0.25">
      <c r="A23" s="17">
        <v>0.45833333333575865</v>
      </c>
      <c r="B23" s="17">
        <v>0.75</v>
      </c>
      <c r="C23" s="18" t="s">
        <v>6</v>
      </c>
    </row>
    <row r="24" spans="1:327" s="2" customFormat="1" x14ac:dyDescent="0.25">
      <c r="A24" s="17">
        <v>0.47916666666424135</v>
      </c>
      <c r="B24" s="17">
        <v>0.79166666666666663</v>
      </c>
      <c r="C24" s="18" t="s">
        <v>7</v>
      </c>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row>
    <row r="25" spans="1:327" x14ac:dyDescent="0.25">
      <c r="A25" s="17">
        <v>0.45833333333575865</v>
      </c>
      <c r="B25" s="17">
        <v>0.75</v>
      </c>
      <c r="C25" s="18" t="s">
        <v>6</v>
      </c>
    </row>
    <row r="26" spans="1:327" s="2" customFormat="1" x14ac:dyDescent="0.25">
      <c r="A26" s="17">
        <v>0.45833333333575865</v>
      </c>
      <c r="B26" s="17">
        <v>0.91666666666666663</v>
      </c>
      <c r="C26" s="18" t="s">
        <v>7</v>
      </c>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row>
    <row r="27" spans="1:327" x14ac:dyDescent="0.25">
      <c r="A27" s="17">
        <v>0.5</v>
      </c>
      <c r="B27" s="17">
        <v>0.54166666666666696</v>
      </c>
      <c r="C27" s="18" t="s">
        <v>6</v>
      </c>
    </row>
    <row r="28" spans="1:327" s="2" customFormat="1" x14ac:dyDescent="0.25">
      <c r="A28" s="17">
        <v>0.5</v>
      </c>
      <c r="B28" s="17">
        <v>0.75</v>
      </c>
      <c r="C28" s="18" t="s">
        <v>6</v>
      </c>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row>
    <row r="29" spans="1:327" x14ac:dyDescent="0.25">
      <c r="A29" s="17">
        <v>0.27083333333575865</v>
      </c>
      <c r="B29" s="17">
        <v>0.72916666666666663</v>
      </c>
      <c r="C29" s="18" t="s">
        <v>7</v>
      </c>
    </row>
    <row r="30" spans="1:327" s="2" customFormat="1" x14ac:dyDescent="0.25">
      <c r="A30" s="17">
        <v>0.5</v>
      </c>
      <c r="B30" s="17">
        <v>0.75</v>
      </c>
      <c r="C30" s="18" t="s">
        <v>7</v>
      </c>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row>
    <row r="31" spans="1:327" x14ac:dyDescent="0.25">
      <c r="A31" s="17">
        <v>0.48958333333575865</v>
      </c>
      <c r="B31" s="17">
        <v>0.625</v>
      </c>
      <c r="C31" s="18" t="s">
        <v>6</v>
      </c>
    </row>
    <row r="32" spans="1:327" s="2" customFormat="1" x14ac:dyDescent="0.25">
      <c r="A32" s="17">
        <v>0.5</v>
      </c>
      <c r="B32" s="17">
        <v>0.73958333333575865</v>
      </c>
      <c r="C32" s="18" t="s">
        <v>6</v>
      </c>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row>
    <row r="33" spans="1:327" x14ac:dyDescent="0.25">
      <c r="A33" s="17">
        <v>0.45833333333333331</v>
      </c>
      <c r="B33" s="17">
        <v>0.77083333333333337</v>
      </c>
      <c r="C33" s="18" t="s">
        <v>6</v>
      </c>
    </row>
    <row r="34" spans="1:327" s="2" customFormat="1" x14ac:dyDescent="0.25">
      <c r="A34" s="17">
        <v>0.5</v>
      </c>
      <c r="B34" s="17">
        <v>0.75</v>
      </c>
      <c r="C34" s="18" t="s">
        <v>6</v>
      </c>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row>
    <row r="35" spans="1:327" x14ac:dyDescent="0.25">
      <c r="A35" s="17">
        <v>0.5</v>
      </c>
      <c r="B35" s="17">
        <v>0.5</v>
      </c>
      <c r="C35" s="18" t="s">
        <v>6</v>
      </c>
    </row>
    <row r="36" spans="1:327" s="2" customFormat="1" x14ac:dyDescent="0.25">
      <c r="A36" s="17">
        <v>0.47916666666666669</v>
      </c>
      <c r="B36" s="17">
        <v>0.77083333333333337</v>
      </c>
      <c r="C36" s="18" t="s">
        <v>7</v>
      </c>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row>
    <row r="37" spans="1:327" x14ac:dyDescent="0.25">
      <c r="A37" s="17">
        <v>0.47916666666424135</v>
      </c>
      <c r="B37" s="17">
        <v>0.75</v>
      </c>
      <c r="C37" s="18" t="s">
        <v>6</v>
      </c>
    </row>
    <row r="38" spans="1:327" s="2" customFormat="1" x14ac:dyDescent="0.25">
      <c r="A38" s="17">
        <v>0.47916666666424135</v>
      </c>
      <c r="B38" s="17">
        <v>0.72916666666666663</v>
      </c>
      <c r="C38" s="18" t="s">
        <v>7</v>
      </c>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row>
    <row r="39" spans="1:327" x14ac:dyDescent="0.25">
      <c r="A39" s="17">
        <v>0.47916666666424135</v>
      </c>
      <c r="B39" s="17">
        <v>0.58333333333333304</v>
      </c>
      <c r="C39" s="18" t="s">
        <v>7</v>
      </c>
    </row>
    <row r="40" spans="1:327" s="2" customFormat="1" x14ac:dyDescent="0.25">
      <c r="A40" s="17">
        <v>0.47916666666424135</v>
      </c>
      <c r="B40" s="17">
        <v>0.77083333333575865</v>
      </c>
      <c r="C40" s="18" t="s">
        <v>7</v>
      </c>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row>
    <row r="41" spans="1:327" x14ac:dyDescent="0.25">
      <c r="A41" s="17">
        <v>0.29166666666424135</v>
      </c>
      <c r="B41" s="17">
        <v>0.73958333333575865</v>
      </c>
      <c r="C41" s="18" t="s">
        <v>6</v>
      </c>
    </row>
    <row r="42" spans="1:327" s="2" customFormat="1" x14ac:dyDescent="0.25">
      <c r="A42" s="17">
        <v>0.45833333333575865</v>
      </c>
      <c r="B42" s="17">
        <v>0.95833333333333337</v>
      </c>
      <c r="C42" s="18" t="s">
        <v>7</v>
      </c>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row>
    <row r="43" spans="1:327" x14ac:dyDescent="0.25">
      <c r="A43" s="17">
        <v>0.47916666666424135</v>
      </c>
      <c r="B43" s="17">
        <v>0.77083333333575865</v>
      </c>
      <c r="C43" s="18" t="s">
        <v>6</v>
      </c>
    </row>
    <row r="44" spans="1:327" s="2" customFormat="1" x14ac:dyDescent="0.25">
      <c r="A44" s="19">
        <v>0.5</v>
      </c>
      <c r="B44" s="19">
        <v>0.75</v>
      </c>
      <c r="C44" s="20" t="s">
        <v>6</v>
      </c>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row>
    <row r="45" spans="1:327" x14ac:dyDescent="0.25">
      <c r="A45" s="1"/>
    </row>
  </sheetData>
  <sortState xmlns:xlrd2="http://schemas.microsoft.com/office/spreadsheetml/2017/richdata2" ref="A2:C43">
    <sortCondition ref="C2:C43"/>
  </sortState>
  <mergeCells count="1">
    <mergeCell ref="E1:F1"/>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F61F1-9F75-4436-B9B1-00411C7915EF}">
  <dimension ref="A1:CO6"/>
  <sheetViews>
    <sheetView zoomScale="102" zoomScaleNormal="175" workbookViewId="0">
      <selection activeCell="K11" sqref="K11"/>
    </sheetView>
  </sheetViews>
  <sheetFormatPr defaultRowHeight="15" x14ac:dyDescent="0.25"/>
  <cols>
    <col min="1" max="1" width="29.42578125" customWidth="1"/>
    <col min="2" max="2" width="10.7109375" customWidth="1"/>
  </cols>
  <sheetData>
    <row r="1" spans="1:93" x14ac:dyDescent="0.25">
      <c r="A1" t="s">
        <v>237</v>
      </c>
      <c r="B1" t="s">
        <v>262</v>
      </c>
    </row>
    <row r="2" spans="1:93" x14ac:dyDescent="0.25">
      <c r="A2" t="s">
        <v>256</v>
      </c>
      <c r="B2">
        <v>4</v>
      </c>
    </row>
    <row r="3" spans="1:93" s="2" customFormat="1" x14ac:dyDescent="0.25">
      <c r="A3" t="s">
        <v>257</v>
      </c>
      <c r="B3">
        <v>10</v>
      </c>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row>
    <row r="4" spans="1:93" x14ac:dyDescent="0.25">
      <c r="A4" t="s">
        <v>258</v>
      </c>
      <c r="B4">
        <v>17</v>
      </c>
    </row>
    <row r="5" spans="1:93" s="2" customFormat="1" x14ac:dyDescent="0.25">
      <c r="A5" t="s">
        <v>259</v>
      </c>
      <c r="B5">
        <v>8</v>
      </c>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row>
    <row r="6" spans="1:93" x14ac:dyDescent="0.25">
      <c r="A6" t="s">
        <v>260</v>
      </c>
      <c r="B6">
        <v>4</v>
      </c>
    </row>
  </sheetData>
  <sortState xmlns:xlrd2="http://schemas.microsoft.com/office/spreadsheetml/2017/richdata2" ref="A2:A9">
    <sortCondition ref="A2:A9"/>
  </sortState>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E9715-09E2-4F09-A016-58CE7342D205}">
  <dimension ref="A1:BM44"/>
  <sheetViews>
    <sheetView zoomScale="55" zoomScaleNormal="55" workbookViewId="0">
      <selection activeCell="A2" sqref="A2:B44"/>
    </sheetView>
  </sheetViews>
  <sheetFormatPr defaultRowHeight="15" x14ac:dyDescent="0.25"/>
  <cols>
    <col min="1" max="1" width="45.140625" customWidth="1"/>
    <col min="2" max="2" width="255.42578125" customWidth="1"/>
  </cols>
  <sheetData>
    <row r="1" spans="1:65" x14ac:dyDescent="0.25">
      <c r="A1" t="s">
        <v>263</v>
      </c>
      <c r="B1" t="s">
        <v>264</v>
      </c>
    </row>
    <row r="2" spans="1:65" x14ac:dyDescent="0.25">
      <c r="A2" t="s">
        <v>0</v>
      </c>
      <c r="B2" t="s">
        <v>10</v>
      </c>
    </row>
    <row r="3" spans="1:65" s="2" customFormat="1" x14ac:dyDescent="0.25">
      <c r="A3" t="s">
        <v>11</v>
      </c>
      <c r="B3" t="s">
        <v>19</v>
      </c>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row>
    <row r="4" spans="1:65" x14ac:dyDescent="0.25">
      <c r="A4" t="s">
        <v>20</v>
      </c>
      <c r="B4" t="s">
        <v>26</v>
      </c>
    </row>
    <row r="5" spans="1:65" s="2" customFormat="1" x14ac:dyDescent="0.25">
      <c r="A5" t="s">
        <v>27</v>
      </c>
      <c r="B5" t="s">
        <v>245</v>
      </c>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row>
    <row r="6" spans="1:65" x14ac:dyDescent="0.25">
      <c r="A6" t="s">
        <v>32</v>
      </c>
      <c r="B6" t="s">
        <v>38</v>
      </c>
    </row>
    <row r="7" spans="1:65" s="2" customFormat="1" x14ac:dyDescent="0.25">
      <c r="A7" t="s">
        <v>39</v>
      </c>
      <c r="B7" t="s">
        <v>43</v>
      </c>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row>
    <row r="8" spans="1:65" x14ac:dyDescent="0.25">
      <c r="A8" t="s">
        <v>44</v>
      </c>
      <c r="B8" t="s">
        <v>49</v>
      </c>
    </row>
    <row r="9" spans="1:65" s="2" customFormat="1" x14ac:dyDescent="0.25">
      <c r="A9" t="s">
        <v>50</v>
      </c>
      <c r="B9" t="s">
        <v>56</v>
      </c>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row>
    <row r="10" spans="1:65" x14ac:dyDescent="0.25">
      <c r="A10" t="s">
        <v>57</v>
      </c>
      <c r="B10" t="s">
        <v>61</v>
      </c>
    </row>
    <row r="11" spans="1:65" s="2" customFormat="1" x14ac:dyDescent="0.25">
      <c r="A11" t="s">
        <v>62</v>
      </c>
      <c r="B11" t="s">
        <v>66</v>
      </c>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row>
    <row r="12" spans="1:65" x14ac:dyDescent="0.25">
      <c r="A12" t="s">
        <v>67</v>
      </c>
      <c r="B12" t="s">
        <v>277</v>
      </c>
    </row>
    <row r="13" spans="1:65" s="2" customFormat="1" x14ac:dyDescent="0.25">
      <c r="A13" t="s">
        <v>71</v>
      </c>
      <c r="B13" t="s">
        <v>75</v>
      </c>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row>
    <row r="14" spans="1:65" x14ac:dyDescent="0.25">
      <c r="A14" t="s">
        <v>76</v>
      </c>
      <c r="B14" t="s">
        <v>80</v>
      </c>
    </row>
    <row r="15" spans="1:65" s="2" customFormat="1" x14ac:dyDescent="0.25">
      <c r="A15" t="s">
        <v>81</v>
      </c>
      <c r="B15" t="s">
        <v>85</v>
      </c>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row>
    <row r="16" spans="1:65" x14ac:dyDescent="0.25">
      <c r="A16" t="s">
        <v>86</v>
      </c>
      <c r="B16" t="s">
        <v>90</v>
      </c>
    </row>
    <row r="17" spans="1:65" s="2" customFormat="1" x14ac:dyDescent="0.25">
      <c r="A17" t="s">
        <v>91</v>
      </c>
      <c r="B17" t="s">
        <v>95</v>
      </c>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row>
    <row r="18" spans="1:65" x14ac:dyDescent="0.25">
      <c r="A18" t="s">
        <v>96</v>
      </c>
      <c r="B18" t="s">
        <v>100</v>
      </c>
    </row>
    <row r="19" spans="1:65" s="2" customFormat="1" x14ac:dyDescent="0.25">
      <c r="A19" t="s">
        <v>101</v>
      </c>
      <c r="B19" t="s">
        <v>105</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row>
    <row r="20" spans="1:65" x14ac:dyDescent="0.25">
      <c r="A20" t="s">
        <v>106</v>
      </c>
      <c r="B20" t="s">
        <v>110</v>
      </c>
    </row>
    <row r="21" spans="1:65" s="2" customFormat="1" x14ac:dyDescent="0.25">
      <c r="A21" t="s">
        <v>111</v>
      </c>
      <c r="B21" t="s">
        <v>115</v>
      </c>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row>
    <row r="22" spans="1:65" x14ac:dyDescent="0.25">
      <c r="A22" t="s">
        <v>116</v>
      </c>
      <c r="B22" t="s">
        <v>121</v>
      </c>
    </row>
    <row r="23" spans="1:65" s="2" customFormat="1" x14ac:dyDescent="0.25">
      <c r="A23" t="s">
        <v>122</v>
      </c>
      <c r="B23" t="s">
        <v>126</v>
      </c>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row>
    <row r="24" spans="1:65" x14ac:dyDescent="0.25">
      <c r="A24" t="s">
        <v>127</v>
      </c>
      <c r="B24" t="s">
        <v>132</v>
      </c>
    </row>
    <row r="25" spans="1:65" s="2" customFormat="1" x14ac:dyDescent="0.25">
      <c r="A25" t="s">
        <v>133</v>
      </c>
      <c r="B25" t="s">
        <v>137</v>
      </c>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row>
    <row r="26" spans="1:65" x14ac:dyDescent="0.25">
      <c r="A26" t="s">
        <v>138</v>
      </c>
      <c r="B26" t="s">
        <v>142</v>
      </c>
    </row>
    <row r="27" spans="1:65" s="2" customFormat="1" x14ac:dyDescent="0.25">
      <c r="A27" t="s">
        <v>143</v>
      </c>
      <c r="B27" t="s">
        <v>146</v>
      </c>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row>
    <row r="28" spans="1:65" x14ac:dyDescent="0.25">
      <c r="A28" t="s">
        <v>147</v>
      </c>
      <c r="B28" t="s">
        <v>150</v>
      </c>
    </row>
    <row r="29" spans="1:65" s="2" customFormat="1" x14ac:dyDescent="0.25">
      <c r="A29" t="s">
        <v>151</v>
      </c>
      <c r="B29" t="s">
        <v>156</v>
      </c>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row>
    <row r="30" spans="1:65" x14ac:dyDescent="0.25">
      <c r="A30" t="s">
        <v>157</v>
      </c>
      <c r="B30" t="s">
        <v>37</v>
      </c>
    </row>
    <row r="31" spans="1:65" s="2" customFormat="1" x14ac:dyDescent="0.25">
      <c r="A31" t="s">
        <v>161</v>
      </c>
      <c r="B31" t="s">
        <v>166</v>
      </c>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row>
    <row r="32" spans="1:65" x14ac:dyDescent="0.25">
      <c r="A32" t="s">
        <v>167</v>
      </c>
      <c r="B32" t="s">
        <v>171</v>
      </c>
    </row>
    <row r="33" spans="1:65" s="2" customFormat="1" x14ac:dyDescent="0.25">
      <c r="A33" t="s">
        <v>172</v>
      </c>
      <c r="B33" t="s">
        <v>175</v>
      </c>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row>
    <row r="34" spans="1:65" x14ac:dyDescent="0.25">
      <c r="A34" t="s">
        <v>176</v>
      </c>
      <c r="B34" t="s">
        <v>181</v>
      </c>
    </row>
    <row r="35" spans="1:65" s="2" customFormat="1" x14ac:dyDescent="0.25">
      <c r="A35" t="s">
        <v>182</v>
      </c>
      <c r="B35" t="s">
        <v>187</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row>
    <row r="36" spans="1:65" x14ac:dyDescent="0.25">
      <c r="A36" t="s">
        <v>188</v>
      </c>
      <c r="B36" t="s">
        <v>192</v>
      </c>
    </row>
    <row r="37" spans="1:65" s="2" customFormat="1" x14ac:dyDescent="0.25">
      <c r="A37" t="s">
        <v>193</v>
      </c>
      <c r="B37" t="s">
        <v>197</v>
      </c>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row>
    <row r="38" spans="1:65" x14ac:dyDescent="0.25">
      <c r="A38" t="s">
        <v>198</v>
      </c>
      <c r="B38" t="s">
        <v>202</v>
      </c>
    </row>
    <row r="39" spans="1:65" s="2" customFormat="1" x14ac:dyDescent="0.25">
      <c r="A39" t="s">
        <v>203</v>
      </c>
      <c r="B39" t="s">
        <v>206</v>
      </c>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row>
    <row r="40" spans="1:65" x14ac:dyDescent="0.25">
      <c r="A40" t="s">
        <v>207</v>
      </c>
      <c r="B40" t="s">
        <v>210</v>
      </c>
    </row>
    <row r="41" spans="1:65" s="2" customFormat="1" x14ac:dyDescent="0.25">
      <c r="A41" t="s">
        <v>211</v>
      </c>
      <c r="B41" t="s">
        <v>215</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row>
    <row r="42" spans="1:65" x14ac:dyDescent="0.25">
      <c r="A42" t="s">
        <v>216</v>
      </c>
      <c r="B42" t="s">
        <v>219</v>
      </c>
    </row>
    <row r="43" spans="1:65" s="2" customFormat="1" x14ac:dyDescent="0.25">
      <c r="A43" t="s">
        <v>220</v>
      </c>
      <c r="B43" t="s">
        <v>223</v>
      </c>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row>
    <row r="44" spans="1:65" x14ac:dyDescent="0.25">
      <c r="A44" t="s">
        <v>224</v>
      </c>
      <c r="B44" t="s">
        <v>228</v>
      </c>
    </row>
  </sheetData>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5DC7B-4F41-4997-8643-538DFE0B8247}">
  <dimension ref="A1:AN6"/>
  <sheetViews>
    <sheetView workbookViewId="0">
      <selection activeCell="A2" sqref="A2:B6"/>
    </sheetView>
  </sheetViews>
  <sheetFormatPr defaultRowHeight="15" x14ac:dyDescent="0.25"/>
  <cols>
    <col min="1" max="1" width="43.5703125" bestFit="1" customWidth="1"/>
    <col min="2" max="2" width="11" customWidth="1"/>
  </cols>
  <sheetData>
    <row r="1" spans="1:40" x14ac:dyDescent="0.25">
      <c r="A1" t="s">
        <v>279</v>
      </c>
      <c r="B1" t="s">
        <v>241</v>
      </c>
    </row>
    <row r="2" spans="1:40" x14ac:dyDescent="0.25">
      <c r="A2" s="10" t="s">
        <v>25</v>
      </c>
      <c r="B2" s="11">
        <v>9</v>
      </c>
    </row>
    <row r="3" spans="1:40" s="2" customFormat="1" x14ac:dyDescent="0.25">
      <c r="A3" s="12" t="s">
        <v>37</v>
      </c>
      <c r="B3" s="13">
        <v>12</v>
      </c>
      <c r="C3"/>
      <c r="D3"/>
      <c r="E3"/>
      <c r="F3"/>
      <c r="G3"/>
      <c r="H3"/>
      <c r="I3"/>
      <c r="J3"/>
      <c r="K3"/>
      <c r="L3"/>
      <c r="M3"/>
      <c r="N3"/>
      <c r="O3"/>
      <c r="P3"/>
      <c r="Q3"/>
      <c r="R3"/>
      <c r="S3"/>
      <c r="T3"/>
      <c r="U3"/>
      <c r="V3"/>
      <c r="W3"/>
      <c r="X3"/>
      <c r="Y3"/>
      <c r="Z3"/>
      <c r="AA3"/>
      <c r="AB3"/>
      <c r="AC3"/>
      <c r="AD3"/>
      <c r="AE3"/>
      <c r="AF3"/>
      <c r="AG3"/>
      <c r="AH3"/>
      <c r="AI3"/>
      <c r="AJ3"/>
      <c r="AK3"/>
      <c r="AL3"/>
      <c r="AM3"/>
      <c r="AN3"/>
    </row>
    <row r="4" spans="1:40" x14ac:dyDescent="0.25">
      <c r="A4" s="12" t="s">
        <v>18</v>
      </c>
      <c r="B4" s="13">
        <v>20</v>
      </c>
    </row>
    <row r="5" spans="1:40" s="2" customFormat="1" x14ac:dyDescent="0.25">
      <c r="A5" s="14" t="s">
        <v>9</v>
      </c>
      <c r="B5" s="15">
        <v>2</v>
      </c>
      <c r="C5"/>
      <c r="D5"/>
      <c r="E5"/>
      <c r="F5"/>
      <c r="G5"/>
      <c r="H5"/>
      <c r="I5"/>
      <c r="J5"/>
      <c r="K5"/>
      <c r="L5"/>
      <c r="M5"/>
      <c r="N5"/>
      <c r="O5"/>
      <c r="P5"/>
      <c r="Q5"/>
      <c r="R5"/>
      <c r="S5"/>
      <c r="T5"/>
      <c r="U5"/>
      <c r="V5"/>
      <c r="W5"/>
      <c r="X5"/>
      <c r="Y5"/>
      <c r="Z5"/>
      <c r="AA5"/>
      <c r="AB5"/>
      <c r="AC5"/>
      <c r="AD5"/>
      <c r="AE5"/>
      <c r="AF5"/>
      <c r="AG5"/>
      <c r="AH5"/>
      <c r="AI5"/>
      <c r="AJ5"/>
      <c r="AK5"/>
      <c r="AL5"/>
      <c r="AM5"/>
      <c r="AN5"/>
    </row>
    <row r="6" spans="1:40" x14ac:dyDescent="0.25">
      <c r="A6" t="s">
        <v>265</v>
      </c>
      <c r="B6">
        <v>0</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39A1A-97AC-42F3-9364-5CD2688DEDD1}">
  <dimension ref="A1:B9"/>
  <sheetViews>
    <sheetView zoomScale="115" zoomScaleNormal="115" workbookViewId="0">
      <selection activeCell="C17" sqref="C17"/>
    </sheetView>
  </sheetViews>
  <sheetFormatPr defaultRowHeight="15" x14ac:dyDescent="0.25"/>
  <cols>
    <col min="1" max="1" width="24.28515625" bestFit="1" customWidth="1"/>
    <col min="2" max="2" width="18.85546875" bestFit="1" customWidth="1"/>
  </cols>
  <sheetData>
    <row r="1" spans="1:2" x14ac:dyDescent="0.25">
      <c r="A1" s="26" t="s">
        <v>243</v>
      </c>
      <c r="B1" s="26"/>
    </row>
    <row r="2" spans="1:2" x14ac:dyDescent="0.25">
      <c r="A2" t="s">
        <v>242</v>
      </c>
      <c r="B2" t="s">
        <v>241</v>
      </c>
    </row>
    <row r="3" spans="1:2" x14ac:dyDescent="0.25">
      <c r="A3" t="s">
        <v>153</v>
      </c>
      <c r="B3">
        <v>1</v>
      </c>
    </row>
    <row r="4" spans="1:2" x14ac:dyDescent="0.25">
      <c r="A4" t="s">
        <v>163</v>
      </c>
      <c r="B4">
        <v>1</v>
      </c>
    </row>
    <row r="5" spans="1:2" x14ac:dyDescent="0.25">
      <c r="A5" t="s">
        <v>34</v>
      </c>
      <c r="B5">
        <v>12</v>
      </c>
    </row>
    <row r="6" spans="1:2" x14ac:dyDescent="0.25">
      <c r="A6" t="s">
        <v>13</v>
      </c>
      <c r="B6">
        <v>20</v>
      </c>
    </row>
    <row r="7" spans="1:2" x14ac:dyDescent="0.25">
      <c r="A7" t="s">
        <v>129</v>
      </c>
      <c r="B7">
        <v>5</v>
      </c>
    </row>
    <row r="8" spans="1:2" x14ac:dyDescent="0.25">
      <c r="A8" t="s">
        <v>118</v>
      </c>
      <c r="B8">
        <v>3</v>
      </c>
    </row>
    <row r="9" spans="1:2" x14ac:dyDescent="0.25">
      <c r="A9" t="s">
        <v>2</v>
      </c>
      <c r="B9">
        <v>1</v>
      </c>
    </row>
  </sheetData>
  <mergeCells count="1">
    <mergeCell ref="A1:B1"/>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2530F-D4B8-431D-BF13-0E38041B0EEA}">
  <dimension ref="A1:B4"/>
  <sheetViews>
    <sheetView zoomScale="103" zoomScaleNormal="190" workbookViewId="0">
      <selection sqref="A1:B1"/>
    </sheetView>
  </sheetViews>
  <sheetFormatPr defaultRowHeight="15" x14ac:dyDescent="0.25"/>
  <cols>
    <col min="1" max="1" width="9.42578125" customWidth="1"/>
    <col min="2" max="2" width="13.7109375" bestFit="1" customWidth="1"/>
  </cols>
  <sheetData>
    <row r="1" spans="1:2" x14ac:dyDescent="0.25">
      <c r="A1" s="22" t="s">
        <v>232</v>
      </c>
      <c r="B1" s="22" t="s">
        <v>241</v>
      </c>
    </row>
    <row r="2" spans="1:2" x14ac:dyDescent="0.25">
      <c r="A2" t="s">
        <v>14</v>
      </c>
      <c r="B2">
        <v>26</v>
      </c>
    </row>
    <row r="3" spans="1:2" x14ac:dyDescent="0.25">
      <c r="A3" t="s">
        <v>3</v>
      </c>
      <c r="B3">
        <v>17</v>
      </c>
    </row>
    <row r="4" spans="1:2" x14ac:dyDescent="0.25">
      <c r="A4" t="s">
        <v>266</v>
      </c>
      <c r="B4">
        <f>SUM(B2:B3)</f>
        <v>43</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10055-790C-4DC7-BDD5-A59489905A00}">
  <dimension ref="A1:B4"/>
  <sheetViews>
    <sheetView zoomScale="114" zoomScaleNormal="175" workbookViewId="0">
      <selection activeCell="B8" sqref="B8"/>
    </sheetView>
  </sheetViews>
  <sheetFormatPr defaultRowHeight="15" x14ac:dyDescent="0.25"/>
  <cols>
    <col min="1" max="1" width="29" customWidth="1"/>
    <col min="2" max="2" width="22.5703125" customWidth="1"/>
  </cols>
  <sheetData>
    <row r="1" spans="1:2" x14ac:dyDescent="0.25">
      <c r="A1" t="s">
        <v>267</v>
      </c>
      <c r="B1" t="s">
        <v>241</v>
      </c>
    </row>
    <row r="2" spans="1:2" x14ac:dyDescent="0.25">
      <c r="A2" t="s">
        <v>6</v>
      </c>
      <c r="B2">
        <v>19</v>
      </c>
    </row>
    <row r="3" spans="1:2" x14ac:dyDescent="0.25">
      <c r="A3" t="s">
        <v>7</v>
      </c>
      <c r="B3">
        <v>24</v>
      </c>
    </row>
    <row r="4" spans="1:2" x14ac:dyDescent="0.25">
      <c r="A4" t="s">
        <v>266</v>
      </c>
      <c r="B4">
        <f>SUM(B2:B3)</f>
        <v>43</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8D8D-4C37-4CE8-A76C-CAFBB8F284FF}">
  <dimension ref="A1:C7"/>
  <sheetViews>
    <sheetView zoomScale="132" zoomScaleNormal="205" workbookViewId="0">
      <selection sqref="A1:B7"/>
    </sheetView>
  </sheetViews>
  <sheetFormatPr defaultRowHeight="15" x14ac:dyDescent="0.25"/>
  <cols>
    <col min="1" max="1" width="15.5703125" customWidth="1"/>
    <col min="2" max="2" width="15.42578125" bestFit="1" customWidth="1"/>
  </cols>
  <sheetData>
    <row r="1" spans="1:3" x14ac:dyDescent="0.25">
      <c r="A1" t="s">
        <v>268</v>
      </c>
      <c r="B1" t="s">
        <v>241</v>
      </c>
    </row>
    <row r="2" spans="1:3" x14ac:dyDescent="0.25">
      <c r="A2" t="s">
        <v>8</v>
      </c>
      <c r="B2">
        <v>6</v>
      </c>
    </row>
    <row r="3" spans="1:3" x14ac:dyDescent="0.25">
      <c r="A3" t="s">
        <v>55</v>
      </c>
      <c r="B3">
        <v>1</v>
      </c>
    </row>
    <row r="4" spans="1:3" x14ac:dyDescent="0.25">
      <c r="A4" t="s">
        <v>24</v>
      </c>
      <c r="B4">
        <v>20</v>
      </c>
    </row>
    <row r="5" spans="1:3" x14ac:dyDescent="0.25">
      <c r="A5" t="s">
        <v>17</v>
      </c>
      <c r="B5">
        <v>16</v>
      </c>
    </row>
    <row r="6" spans="1:3" x14ac:dyDescent="0.25">
      <c r="A6" t="s">
        <v>269</v>
      </c>
      <c r="B6">
        <v>0</v>
      </c>
    </row>
    <row r="7" spans="1:3" x14ac:dyDescent="0.25">
      <c r="A7" t="s">
        <v>266</v>
      </c>
      <c r="B7">
        <f>SUM(B2:B6)</f>
        <v>43</v>
      </c>
      <c r="C7" s="4"/>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6CF6E-749D-4B66-83FD-153B95019BAE}">
  <dimension ref="A1:C4"/>
  <sheetViews>
    <sheetView workbookViewId="0">
      <selection activeCell="L15" sqref="L15"/>
    </sheetView>
  </sheetViews>
  <sheetFormatPr defaultRowHeight="15" x14ac:dyDescent="0.25"/>
  <cols>
    <col min="1" max="1" width="25.28515625" customWidth="1"/>
    <col min="2" max="2" width="26" customWidth="1"/>
  </cols>
  <sheetData>
    <row r="1" spans="1:3" x14ac:dyDescent="0.25">
      <c r="A1" t="s">
        <v>278</v>
      </c>
      <c r="B1" t="s">
        <v>241</v>
      </c>
      <c r="C1" s="4"/>
    </row>
    <row r="2" spans="1:3" x14ac:dyDescent="0.25">
      <c r="A2" t="s">
        <v>7</v>
      </c>
      <c r="B2">
        <v>19</v>
      </c>
    </row>
    <row r="3" spans="1:3" x14ac:dyDescent="0.25">
      <c r="A3" t="s">
        <v>6</v>
      </c>
      <c r="B3">
        <v>24</v>
      </c>
    </row>
    <row r="4" spans="1:3" x14ac:dyDescent="0.25">
      <c r="A4" t="s">
        <v>266</v>
      </c>
      <c r="B4">
        <f>SUM(B2:B3)</f>
        <v>43</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80AFB-EC3E-4F30-A21A-4A36D858AE47}">
  <dimension ref="A1:E45"/>
  <sheetViews>
    <sheetView zoomScale="130" zoomScaleNormal="130" workbookViewId="0">
      <selection activeCell="D12" sqref="D12"/>
    </sheetView>
  </sheetViews>
  <sheetFormatPr defaultRowHeight="15" x14ac:dyDescent="0.25"/>
  <cols>
    <col min="1" max="1" width="24" customWidth="1"/>
    <col min="2" max="2" width="20.5703125" customWidth="1"/>
    <col min="3" max="3" width="8.140625" customWidth="1"/>
    <col min="4" max="4" width="16.7109375" customWidth="1"/>
    <col min="5" max="5" width="13.140625" bestFit="1" customWidth="1"/>
  </cols>
  <sheetData>
    <row r="1" spans="1:5" ht="15" customHeight="1" x14ac:dyDescent="0.25">
      <c r="A1" s="27" t="s">
        <v>271</v>
      </c>
      <c r="B1" s="28"/>
    </row>
    <row r="2" spans="1:5" x14ac:dyDescent="0.25">
      <c r="A2" t="s">
        <v>272</v>
      </c>
      <c r="B2" t="s">
        <v>273</v>
      </c>
    </row>
    <row r="3" spans="1:5" x14ac:dyDescent="0.25">
      <c r="A3" t="s">
        <v>116</v>
      </c>
      <c r="B3" s="16">
        <v>2725</v>
      </c>
    </row>
    <row r="4" spans="1:5" x14ac:dyDescent="0.25">
      <c r="A4" t="s">
        <v>122</v>
      </c>
      <c r="B4" s="16">
        <v>6000</v>
      </c>
    </row>
    <row r="5" spans="1:5" x14ac:dyDescent="0.25">
      <c r="A5" t="s">
        <v>127</v>
      </c>
      <c r="B5" s="16">
        <v>2930</v>
      </c>
    </row>
    <row r="6" spans="1:5" x14ac:dyDescent="0.25">
      <c r="A6" t="s">
        <v>133</v>
      </c>
      <c r="B6" s="16">
        <v>1250</v>
      </c>
    </row>
    <row r="7" spans="1:5" x14ac:dyDescent="0.25">
      <c r="A7" t="s">
        <v>27</v>
      </c>
      <c r="B7" s="16">
        <v>5000</v>
      </c>
      <c r="D7" s="6"/>
    </row>
    <row r="8" spans="1:5" x14ac:dyDescent="0.25">
      <c r="A8" t="s">
        <v>143</v>
      </c>
      <c r="B8" s="16">
        <v>2300</v>
      </c>
      <c r="D8" s="23" t="s">
        <v>283</v>
      </c>
      <c r="E8" s="24" t="s">
        <v>284</v>
      </c>
    </row>
    <row r="9" spans="1:5" x14ac:dyDescent="0.25">
      <c r="A9" t="s">
        <v>151</v>
      </c>
      <c r="B9" s="16">
        <v>4000</v>
      </c>
      <c r="D9" t="s">
        <v>280</v>
      </c>
      <c r="E9" s="16">
        <f>MIN(Table8[Bill])</f>
        <v>1000</v>
      </c>
    </row>
    <row r="10" spans="1:5" x14ac:dyDescent="0.25">
      <c r="A10" t="s">
        <v>157</v>
      </c>
      <c r="B10" s="16">
        <v>3381</v>
      </c>
      <c r="D10" t="s">
        <v>281</v>
      </c>
      <c r="E10" s="16">
        <f>MAX(Table8[Bill])</f>
        <v>12500</v>
      </c>
    </row>
    <row r="11" spans="1:5" x14ac:dyDescent="0.25">
      <c r="A11" t="s">
        <v>44</v>
      </c>
      <c r="B11" s="16">
        <v>3200</v>
      </c>
      <c r="D11" t="s">
        <v>282</v>
      </c>
      <c r="E11" s="16">
        <f>AVERAGE(Table8[Bill])</f>
        <v>3615.2093023255816</v>
      </c>
    </row>
    <row r="12" spans="1:5" x14ac:dyDescent="0.25">
      <c r="A12" t="s">
        <v>50</v>
      </c>
      <c r="B12" s="16">
        <v>1000</v>
      </c>
    </row>
    <row r="13" spans="1:5" x14ac:dyDescent="0.25">
      <c r="A13" t="s">
        <v>57</v>
      </c>
      <c r="B13" s="16">
        <v>3600</v>
      </c>
    </row>
    <row r="14" spans="1:5" x14ac:dyDescent="0.25">
      <c r="A14" t="s">
        <v>39</v>
      </c>
      <c r="B14" s="16">
        <v>2750</v>
      </c>
    </row>
    <row r="15" spans="1:5" x14ac:dyDescent="0.25">
      <c r="A15" t="s">
        <v>67</v>
      </c>
      <c r="B15" s="16">
        <v>3100</v>
      </c>
    </row>
    <row r="16" spans="1:5" x14ac:dyDescent="0.25">
      <c r="A16" t="s">
        <v>71</v>
      </c>
      <c r="B16" s="16">
        <v>3000</v>
      </c>
    </row>
    <row r="17" spans="1:2" x14ac:dyDescent="0.25">
      <c r="A17" t="s">
        <v>167</v>
      </c>
      <c r="B17" s="16">
        <v>1400</v>
      </c>
    </row>
    <row r="18" spans="1:2" x14ac:dyDescent="0.25">
      <c r="A18" t="s">
        <v>76</v>
      </c>
      <c r="B18" s="16">
        <v>3000</v>
      </c>
    </row>
    <row r="19" spans="1:2" x14ac:dyDescent="0.25">
      <c r="A19" t="s">
        <v>172</v>
      </c>
      <c r="B19" s="16">
        <v>5000</v>
      </c>
    </row>
    <row r="20" spans="1:2" x14ac:dyDescent="0.25">
      <c r="A20" t="s">
        <v>188</v>
      </c>
      <c r="B20" s="16">
        <v>7000</v>
      </c>
    </row>
    <row r="21" spans="1:2" x14ac:dyDescent="0.25">
      <c r="A21" t="s">
        <v>193</v>
      </c>
      <c r="B21" s="16">
        <v>2400</v>
      </c>
    </row>
    <row r="22" spans="1:2" x14ac:dyDescent="0.25">
      <c r="A22" t="s">
        <v>198</v>
      </c>
      <c r="B22" s="16">
        <v>2823</v>
      </c>
    </row>
    <row r="23" spans="1:2" x14ac:dyDescent="0.25">
      <c r="A23" t="s">
        <v>203</v>
      </c>
      <c r="B23" s="16">
        <v>3100</v>
      </c>
    </row>
    <row r="24" spans="1:2" x14ac:dyDescent="0.25">
      <c r="A24" t="s">
        <v>207</v>
      </c>
      <c r="B24" s="16">
        <v>1800</v>
      </c>
    </row>
    <row r="25" spans="1:2" x14ac:dyDescent="0.25">
      <c r="A25" t="s">
        <v>220</v>
      </c>
      <c r="B25" s="16">
        <v>1950</v>
      </c>
    </row>
    <row r="26" spans="1:2" x14ac:dyDescent="0.25">
      <c r="A26" t="s">
        <v>96</v>
      </c>
      <c r="B26" s="16">
        <v>2400</v>
      </c>
    </row>
    <row r="27" spans="1:2" x14ac:dyDescent="0.25">
      <c r="A27" t="s">
        <v>0</v>
      </c>
      <c r="B27" s="16">
        <v>12500</v>
      </c>
    </row>
    <row r="28" spans="1:2" x14ac:dyDescent="0.25">
      <c r="A28" t="s">
        <v>11</v>
      </c>
      <c r="B28" s="16">
        <v>4750</v>
      </c>
    </row>
    <row r="29" spans="1:2" x14ac:dyDescent="0.25">
      <c r="A29" t="s">
        <v>20</v>
      </c>
      <c r="B29" s="16">
        <v>2640</v>
      </c>
    </row>
    <row r="30" spans="1:2" x14ac:dyDescent="0.25">
      <c r="A30" t="s">
        <v>138</v>
      </c>
      <c r="B30" s="16">
        <v>3000</v>
      </c>
    </row>
    <row r="31" spans="1:2" x14ac:dyDescent="0.25">
      <c r="A31" t="s">
        <v>147</v>
      </c>
      <c r="B31" s="16">
        <v>1130</v>
      </c>
    </row>
    <row r="32" spans="1:2" x14ac:dyDescent="0.25">
      <c r="A32" t="s">
        <v>32</v>
      </c>
      <c r="B32" s="16">
        <v>4575</v>
      </c>
    </row>
    <row r="33" spans="1:2" x14ac:dyDescent="0.25">
      <c r="A33" t="s">
        <v>161</v>
      </c>
      <c r="B33" s="16">
        <v>1450</v>
      </c>
    </row>
    <row r="34" spans="1:2" x14ac:dyDescent="0.25">
      <c r="A34" t="s">
        <v>62</v>
      </c>
      <c r="B34" s="16">
        <v>2200</v>
      </c>
    </row>
    <row r="35" spans="1:2" x14ac:dyDescent="0.25">
      <c r="A35" t="s">
        <v>176</v>
      </c>
      <c r="B35" s="16">
        <v>6000</v>
      </c>
    </row>
    <row r="36" spans="1:2" x14ac:dyDescent="0.25">
      <c r="A36" t="s">
        <v>182</v>
      </c>
      <c r="B36" s="16">
        <v>2570</v>
      </c>
    </row>
    <row r="37" spans="1:2" x14ac:dyDescent="0.25">
      <c r="A37" t="s">
        <v>81</v>
      </c>
      <c r="B37" s="16">
        <v>2430</v>
      </c>
    </row>
    <row r="38" spans="1:2" x14ac:dyDescent="0.25">
      <c r="A38" t="s">
        <v>86</v>
      </c>
      <c r="B38" s="16">
        <v>3200</v>
      </c>
    </row>
    <row r="39" spans="1:2" x14ac:dyDescent="0.25">
      <c r="A39" t="s">
        <v>211</v>
      </c>
      <c r="B39" s="16">
        <v>4490</v>
      </c>
    </row>
    <row r="40" spans="1:2" x14ac:dyDescent="0.25">
      <c r="A40" t="s">
        <v>91</v>
      </c>
      <c r="B40" s="16">
        <v>3700</v>
      </c>
    </row>
    <row r="41" spans="1:2" x14ac:dyDescent="0.25">
      <c r="A41" t="s">
        <v>216</v>
      </c>
      <c r="B41" s="16">
        <v>3000</v>
      </c>
    </row>
    <row r="42" spans="1:2" x14ac:dyDescent="0.25">
      <c r="A42" t="s">
        <v>101</v>
      </c>
      <c r="B42" s="16">
        <v>3410</v>
      </c>
    </row>
    <row r="43" spans="1:2" x14ac:dyDescent="0.25">
      <c r="A43" t="s">
        <v>106</v>
      </c>
      <c r="B43" s="16">
        <v>7000</v>
      </c>
    </row>
    <row r="44" spans="1:2" x14ac:dyDescent="0.25">
      <c r="A44" t="s">
        <v>224</v>
      </c>
      <c r="B44" s="16">
        <v>2300</v>
      </c>
    </row>
    <row r="45" spans="1:2" x14ac:dyDescent="0.25">
      <c r="A45" t="s">
        <v>111</v>
      </c>
      <c r="B45" s="16">
        <v>10000</v>
      </c>
    </row>
  </sheetData>
  <mergeCells count="1">
    <mergeCell ref="A1:B1"/>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Total Sheet</vt:lpstr>
      <vt:lpstr>Minimal Sheet</vt:lpstr>
      <vt:lpstr>Timings</vt:lpstr>
      <vt:lpstr>Rating</vt:lpstr>
      <vt:lpstr>Short Answers</vt:lpstr>
      <vt:lpstr>Quality of Food</vt:lpstr>
      <vt:lpstr>Hostels</vt:lpstr>
      <vt:lpstr>Gender</vt:lpstr>
      <vt:lpstr>Meat Situation</vt:lpstr>
      <vt:lpstr>Eat from Hostel</vt:lpstr>
      <vt:lpstr>Food Quaility by Prices</vt:lpstr>
      <vt:lpstr>Mess bill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Xdevil</dc:creator>
  <cp:lastModifiedBy>Moeez Ahmad</cp:lastModifiedBy>
  <dcterms:created xsi:type="dcterms:W3CDTF">2015-06-05T18:17:20Z</dcterms:created>
  <dcterms:modified xsi:type="dcterms:W3CDTF">2025-11-23T22:13:40Z</dcterms:modified>
</cp:coreProperties>
</file>